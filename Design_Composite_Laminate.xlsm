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1213" codeName="{6BE1CDB9-6C1C-A5B6-3FC1-E231EC3C600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arnaudguzman-annes/Desktop/"/>
    </mc:Choice>
  </mc:AlternateContent>
  <xr:revisionPtr revIDLastSave="0" documentId="8_{15F62979-F1A6-654E-8BBF-7C47E5752F8B}" xr6:coauthVersionLast="46" xr6:coauthVersionMax="46" xr10:uidLastSave="{00000000-0000-0000-0000-000000000000}"/>
  <bookViews>
    <workbookView xWindow="0" yWindow="460" windowWidth="28800" windowHeight="15520" tabRatio="500" xr2:uid="{00000000-000D-0000-FFFF-FFFF00000000}"/>
  </bookViews>
  <sheets>
    <sheet name="Interface" sheetId="4" r:id="rId1"/>
    <sheet name="Data for R=1" sheetId="7" r:id="rId2"/>
    <sheet name="Data for P1=1000" sheetId="8" r:id="rId3"/>
    <sheet name="Table" sheetId="6" r:id="rId4"/>
    <sheet name="Verif" sheetId="5" r:id="rId5"/>
    <sheet name="Data" sheetId="2" r:id="rId6"/>
  </sheet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12" i="4" l="1"/>
  <c r="G9" i="4"/>
  <c r="F23" i="4"/>
  <c r="F18" i="4"/>
  <c r="N4" i="6"/>
  <c r="P4" i="6"/>
  <c r="Q4" i="6"/>
  <c r="R4" i="6"/>
  <c r="S4" i="6"/>
  <c r="T4" i="6"/>
  <c r="U4" i="6"/>
  <c r="V4" i="6"/>
  <c r="W4" i="6"/>
  <c r="X4" i="6"/>
  <c r="Y4" i="6"/>
  <c r="Z4" i="6"/>
  <c r="N5" i="6"/>
  <c r="P5" i="6"/>
  <c r="Q5" i="6"/>
  <c r="R5" i="6"/>
  <c r="S5" i="6"/>
  <c r="T5" i="6"/>
  <c r="U5" i="6"/>
  <c r="V5" i="6"/>
  <c r="W5" i="6"/>
  <c r="X5" i="6"/>
  <c r="Y5" i="6"/>
  <c r="Z5" i="6"/>
  <c r="N7" i="6"/>
  <c r="P7" i="6"/>
  <c r="Q7" i="6"/>
  <c r="R7" i="6"/>
  <c r="S7" i="6"/>
  <c r="T7" i="6"/>
  <c r="U7" i="6"/>
  <c r="V7" i="6"/>
  <c r="W7" i="6"/>
  <c r="X7" i="6"/>
  <c r="Y7" i="6"/>
  <c r="Z7" i="6"/>
  <c r="N8" i="6"/>
  <c r="P8" i="6"/>
  <c r="Q8" i="6"/>
  <c r="R8" i="6"/>
  <c r="S8" i="6"/>
  <c r="T8" i="6"/>
  <c r="U8" i="6"/>
  <c r="V8" i="6"/>
  <c r="W8" i="6"/>
  <c r="X8" i="6"/>
  <c r="Y8" i="6"/>
  <c r="Z8" i="6"/>
  <c r="N9" i="6"/>
  <c r="P9" i="6"/>
  <c r="Q9" i="6"/>
  <c r="R9" i="6"/>
  <c r="S9" i="6"/>
  <c r="T9" i="6"/>
  <c r="U9" i="6"/>
  <c r="V9" i="6"/>
  <c r="W9" i="6"/>
  <c r="X9" i="6"/>
  <c r="Y9" i="6"/>
  <c r="Z9" i="6"/>
  <c r="V3" i="6"/>
  <c r="W3" i="6"/>
  <c r="X3" i="6"/>
  <c r="Y3" i="6"/>
  <c r="Z3" i="6"/>
  <c r="U3" i="6"/>
  <c r="T3" i="6"/>
  <c r="S3" i="6"/>
  <c r="R3" i="6"/>
  <c r="Q3" i="6"/>
  <c r="P3" i="6"/>
  <c r="N3" i="6"/>
  <c r="V1" i="6"/>
  <c r="T1" i="6"/>
  <c r="R1" i="6"/>
  <c r="P1" i="6"/>
  <c r="X1" i="6"/>
  <c r="Z1" i="6"/>
  <c r="I51" i="5"/>
  <c r="M51" i="5" s="1"/>
  <c r="Q51" i="5" s="1"/>
  <c r="A49" i="5"/>
  <c r="E51" i="5"/>
  <c r="E52" i="5"/>
  <c r="F51" i="5" s="1"/>
  <c r="N51" i="5" s="1"/>
  <c r="R51" i="5" s="1"/>
  <c r="I52" i="5"/>
  <c r="J51" i="5"/>
  <c r="G51" i="5"/>
  <c r="K51" i="5"/>
  <c r="O51" i="5"/>
  <c r="S51" i="5" s="1"/>
  <c r="F52" i="5"/>
  <c r="J52" i="5"/>
  <c r="N52" i="5"/>
  <c r="R52" i="5" s="1"/>
  <c r="F53" i="5"/>
  <c r="G52" i="5"/>
  <c r="J53" i="5"/>
  <c r="K52" i="5" s="1"/>
  <c r="G53" i="5"/>
  <c r="K53" i="5"/>
  <c r="E53" i="5"/>
  <c r="M53" i="5" s="1"/>
  <c r="Q53" i="5" s="1"/>
  <c r="I53" i="5"/>
  <c r="B51" i="5"/>
  <c r="C51" i="5"/>
  <c r="B52" i="5"/>
  <c r="C53" i="5"/>
  <c r="O53" i="5" s="1"/>
  <c r="S53" i="5" s="1"/>
  <c r="A52" i="5"/>
  <c r="M52" i="5" s="1"/>
  <c r="Q52" i="5" s="1"/>
  <c r="A51" i="5"/>
  <c r="B9" i="5"/>
  <c r="J2" i="5"/>
  <c r="J3" i="5" s="1"/>
  <c r="G11" i="4"/>
  <c r="K11" i="4" s="1"/>
  <c r="G12" i="4" s="1"/>
  <c r="D36" i="5"/>
  <c r="C41" i="5" s="1"/>
  <c r="B36" i="5"/>
  <c r="L22" i="5"/>
  <c r="I22" i="5"/>
  <c r="J22" i="5" s="1"/>
  <c r="K22" i="5" s="1"/>
  <c r="M22" i="5" s="1"/>
  <c r="L23" i="5"/>
  <c r="I23" i="5"/>
  <c r="J23" i="5" s="1"/>
  <c r="K23" i="5" s="1"/>
  <c r="L24" i="5"/>
  <c r="I24" i="5"/>
  <c r="J24" i="5"/>
  <c r="K24" i="5"/>
  <c r="L25" i="5"/>
  <c r="I25" i="5"/>
  <c r="J25" i="5"/>
  <c r="K25" i="5" s="1"/>
  <c r="M25" i="5" s="1"/>
  <c r="L26" i="5"/>
  <c r="I26" i="5"/>
  <c r="J26" i="5" s="1"/>
  <c r="K26" i="5" s="1"/>
  <c r="M26" i="5" s="1"/>
  <c r="L27" i="5"/>
  <c r="I27" i="5"/>
  <c r="J27" i="5" s="1"/>
  <c r="K27" i="5" s="1"/>
  <c r="L28" i="5"/>
  <c r="I28" i="5"/>
  <c r="J28" i="5"/>
  <c r="K28" i="5"/>
  <c r="M28" i="5" s="1"/>
  <c r="L29" i="5"/>
  <c r="I29" i="5"/>
  <c r="J29" i="5"/>
  <c r="K29" i="5" s="1"/>
  <c r="M29" i="5" s="1"/>
  <c r="L30" i="5"/>
  <c r="I30" i="5"/>
  <c r="J30" i="5" s="1"/>
  <c r="K30" i="5" s="1"/>
  <c r="L31" i="5"/>
  <c r="I31" i="5"/>
  <c r="J31" i="5" s="1"/>
  <c r="K31" i="5" s="1"/>
  <c r="L32" i="5"/>
  <c r="I32" i="5"/>
  <c r="J32" i="5"/>
  <c r="K32" i="5"/>
  <c r="L33" i="5"/>
  <c r="I33" i="5"/>
  <c r="J33" i="5"/>
  <c r="K33" i="5" s="1"/>
  <c r="F22" i="5"/>
  <c r="C22" i="5"/>
  <c r="D22" i="5" s="1"/>
  <c r="E22" i="5" s="1"/>
  <c r="F23" i="5"/>
  <c r="C23" i="5"/>
  <c r="D23" i="5"/>
  <c r="E23" i="5"/>
  <c r="G23" i="5" s="1"/>
  <c r="F24" i="5"/>
  <c r="C24" i="5"/>
  <c r="D24" i="5"/>
  <c r="E24" i="5" s="1"/>
  <c r="G24" i="5" s="1"/>
  <c r="F25" i="5"/>
  <c r="C25" i="5"/>
  <c r="D25" i="5" s="1"/>
  <c r="E25" i="5" s="1"/>
  <c r="F26" i="5"/>
  <c r="C26" i="5"/>
  <c r="D26" i="5" s="1"/>
  <c r="E26" i="5" s="1"/>
  <c r="F27" i="5"/>
  <c r="C27" i="5"/>
  <c r="D27" i="5"/>
  <c r="E27" i="5"/>
  <c r="F28" i="5"/>
  <c r="C28" i="5"/>
  <c r="D28" i="5"/>
  <c r="E28" i="5" s="1"/>
  <c r="F29" i="5"/>
  <c r="C29" i="5"/>
  <c r="D29" i="5" s="1"/>
  <c r="E29" i="5" s="1"/>
  <c r="F30" i="5"/>
  <c r="G30" i="5" s="1"/>
  <c r="C30" i="5"/>
  <c r="D30" i="5" s="1"/>
  <c r="E30" i="5" s="1"/>
  <c r="F31" i="5"/>
  <c r="C31" i="5"/>
  <c r="D31" i="5"/>
  <c r="E31" i="5"/>
  <c r="F32" i="5"/>
  <c r="C32" i="5"/>
  <c r="D32" i="5"/>
  <c r="E32" i="5" s="1"/>
  <c r="F33" i="5"/>
  <c r="C33" i="5"/>
  <c r="D33" i="5" s="1"/>
  <c r="E33" i="5" s="1"/>
  <c r="F24" i="4"/>
  <c r="H25" i="4"/>
  <c r="G24" i="4"/>
  <c r="G23" i="4"/>
  <c r="H20" i="4"/>
  <c r="G19" i="4"/>
  <c r="F19" i="4"/>
  <c r="G18" i="4"/>
  <c r="C13" i="2"/>
  <c r="D13" i="2"/>
  <c r="E13" i="2"/>
  <c r="F13" i="2"/>
  <c r="B13" i="2"/>
  <c r="G27" i="5" l="1"/>
  <c r="M32" i="5"/>
  <c r="G31" i="5"/>
  <c r="G28" i="5"/>
  <c r="M33" i="5"/>
  <c r="G32" i="5"/>
  <c r="M30" i="5"/>
  <c r="M24" i="5"/>
  <c r="M23" i="5"/>
  <c r="O52" i="5"/>
  <c r="S52" i="5" s="1"/>
  <c r="G29" i="5"/>
  <c r="G22" i="5"/>
  <c r="G25" i="5"/>
  <c r="M27" i="5"/>
  <c r="G33" i="5"/>
  <c r="G26" i="5"/>
  <c r="M31" i="5"/>
  <c r="F3" i="5"/>
  <c r="N53" i="5"/>
  <c r="R53" i="5" s="1"/>
  <c r="M34" i="5" l="1"/>
  <c r="B13" i="5"/>
  <c r="A14" i="5" s="1"/>
  <c r="A13" i="5"/>
  <c r="B14" i="5"/>
  <c r="C15" i="5"/>
  <c r="C14" i="5"/>
  <c r="C13" i="5"/>
  <c r="G34" i="5"/>
  <c r="E13" i="5" l="1" a="1"/>
  <c r="F14" i="5" l="1"/>
  <c r="G15" i="5"/>
  <c r="E14" i="5"/>
  <c r="E13" i="5"/>
  <c r="G14" i="5"/>
  <c r="G13" i="5"/>
  <c r="E15" i="5"/>
  <c r="F15" i="5"/>
  <c r="F13" i="5"/>
  <c r="A40" i="5" s="1"/>
  <c r="C40" i="5" s="1"/>
  <c r="A39" i="5" l="1"/>
  <c r="C39" i="5" s="1"/>
  <c r="G36" i="5"/>
</calcChain>
</file>

<file path=xl/sharedStrings.xml><?xml version="1.0" encoding="utf-8"?>
<sst xmlns="http://schemas.openxmlformats.org/spreadsheetml/2006/main" count="1300" uniqueCount="133">
  <si>
    <t>graphite/epoxy</t>
  </si>
  <si>
    <t>T300/N5208</t>
  </si>
  <si>
    <t>Fiberglass</t>
  </si>
  <si>
    <t>E-glass/epoxy</t>
  </si>
  <si>
    <t>Kevlar/epoxy</t>
  </si>
  <si>
    <t>Kev49/epoxy</t>
  </si>
  <si>
    <t>AS/H3501</t>
  </si>
  <si>
    <t>graphite/thermoplastic</t>
  </si>
  <si>
    <t>AS4/PEEK</t>
  </si>
  <si>
    <t>Ey</t>
  </si>
  <si>
    <t>Es</t>
  </si>
  <si>
    <t>vx</t>
  </si>
  <si>
    <t>Xt</t>
  </si>
  <si>
    <t>Xc</t>
  </si>
  <si>
    <t>Yt</t>
  </si>
  <si>
    <t>Yc</t>
  </si>
  <si>
    <t>Sc</t>
  </si>
  <si>
    <t>Units</t>
  </si>
  <si>
    <t xml:space="preserve">Ex </t>
  </si>
  <si>
    <t>GPa</t>
  </si>
  <si>
    <t>-</t>
  </si>
  <si>
    <t>MPa</t>
  </si>
  <si>
    <t>Tickness</t>
  </si>
  <si>
    <t>mm</t>
  </si>
  <si>
    <t>Ex</t>
  </si>
  <si>
    <t>Material</t>
  </si>
  <si>
    <t>N</t>
  </si>
  <si>
    <t>Properties</t>
  </si>
  <si>
    <t>Layer</t>
  </si>
  <si>
    <t>Geometrie Parameters</t>
  </si>
  <si>
    <t>Orientation</t>
  </si>
  <si>
    <t xml:space="preserve">On-axis [] and </t>
  </si>
  <si>
    <t>O. Angle</t>
  </si>
  <si>
    <t>m</t>
  </si>
  <si>
    <t>σx</t>
  </si>
  <si>
    <t>σy</t>
  </si>
  <si>
    <t>[S]</t>
  </si>
  <si>
    <t>[Q]</t>
  </si>
  <si>
    <t>εx</t>
  </si>
  <si>
    <t>εy</t>
  </si>
  <si>
    <t>vy</t>
  </si>
  <si>
    <t>Geometry</t>
  </si>
  <si>
    <t>Thickness</t>
  </si>
  <si>
    <t>n</t>
  </si>
  <si>
    <t>εs</t>
  </si>
  <si>
    <t>σs</t>
  </si>
  <si>
    <t>layer number: 2</t>
  </si>
  <si>
    <t>layer number: 3</t>
  </si>
  <si>
    <t>layer number: 4</t>
  </si>
  <si>
    <t>V1</t>
  </si>
  <si>
    <t>V2</t>
  </si>
  <si>
    <t>V3</t>
  </si>
  <si>
    <t>V4</t>
  </si>
  <si>
    <t>Half-core thickness</t>
  </si>
  <si>
    <t>U1</t>
  </si>
  <si>
    <t>U2</t>
  </si>
  <si>
    <t>U3</t>
  </si>
  <si>
    <t>U4</t>
  </si>
  <si>
    <t>U5</t>
  </si>
  <si>
    <t>h*</t>
  </si>
  <si>
    <t>D matrix [kNm]</t>
  </si>
  <si>
    <t>N 1</t>
  </si>
  <si>
    <t>N 2</t>
  </si>
  <si>
    <t>N 6</t>
  </si>
  <si>
    <t>epsilon 1</t>
  </si>
  <si>
    <t>epsilon 2</t>
  </si>
  <si>
    <t>epsilon 6</t>
  </si>
  <si>
    <t>Total thickness (with the core)</t>
  </si>
  <si>
    <t>d matrix [1/kNn]</t>
  </si>
  <si>
    <t>Half core thickness</t>
  </si>
  <si>
    <t>Ply thickness (without the core)</t>
  </si>
  <si>
    <t>zc</t>
  </si>
  <si>
    <t>rad</t>
  </si>
  <si>
    <t>sin theta</t>
  </si>
  <si>
    <t>v1</t>
  </si>
  <si>
    <t>2 theta deg</t>
  </si>
  <si>
    <t>theta deg</t>
  </si>
  <si>
    <t>4theta deg</t>
  </si>
  <si>
    <t>M1</t>
  </si>
  <si>
    <t>k</t>
  </si>
  <si>
    <t>Epsilon</t>
  </si>
  <si>
    <t>z</t>
  </si>
  <si>
    <t>deflection</t>
  </si>
  <si>
    <t>varie</t>
  </si>
  <si>
    <t>M 1</t>
  </si>
  <si>
    <t>Nm/m</t>
  </si>
  <si>
    <t>Thickness of all plys</t>
  </si>
  <si>
    <t>Total thickness</t>
  </si>
  <si>
    <t>https://nptel.ac.in/courses/101104010/downloads/Lecture17.pdf</t>
  </si>
  <si>
    <t>+</t>
  </si>
  <si>
    <t>=</t>
  </si>
  <si>
    <t>2sur3</t>
  </si>
  <si>
    <t>sigma x</t>
  </si>
  <si>
    <t>sigma y</t>
  </si>
  <si>
    <t>sigma s</t>
  </si>
  <si>
    <t>B</t>
  </si>
  <si>
    <t>T</t>
  </si>
  <si>
    <t>Ply</t>
  </si>
  <si>
    <t>Assignment 3</t>
  </si>
  <si>
    <t>Assignment 2</t>
  </si>
  <si>
    <t>Angle</t>
  </si>
  <si>
    <t>B matrix [kN]</t>
  </si>
  <si>
    <t>N/m</t>
  </si>
  <si>
    <t>M 2</t>
  </si>
  <si>
    <t>M 6</t>
  </si>
  <si>
    <t>M</t>
  </si>
  <si>
    <t>Max</t>
  </si>
  <si>
    <t>FT (X)</t>
  </si>
  <si>
    <t>FC (X')</t>
  </si>
  <si>
    <t>MT (Y)</t>
  </si>
  <si>
    <t>MC (Y')</t>
  </si>
  <si>
    <t>S (S)</t>
  </si>
  <si>
    <t>N/A</t>
  </si>
  <si>
    <t>On-axis [S] matrice [1/GPa]</t>
  </si>
  <si>
    <t>On-axis [Q] matrice [GPa]</t>
  </si>
  <si>
    <t>σx [GPa]</t>
  </si>
  <si>
    <t>σy [GPa]</t>
  </si>
  <si>
    <t>σs [GPa]</t>
  </si>
  <si>
    <t>Quad</t>
  </si>
  <si>
    <t>(-)</t>
  </si>
  <si>
    <t>(+)</t>
  </si>
  <si>
    <t>Hashin</t>
  </si>
  <si>
    <t>FT</t>
  </si>
  <si>
    <t>FC</t>
  </si>
  <si>
    <t>MT</t>
  </si>
  <si>
    <t>MC</t>
  </si>
  <si>
    <t>FPF for Quad(-) and Hashin</t>
  </si>
  <si>
    <t>FPF for Max and Quad(+)</t>
  </si>
  <si>
    <t>N1=2770</t>
  </si>
  <si>
    <t>N1=2770 N</t>
  </si>
  <si>
    <t>N1=2690 N</t>
  </si>
  <si>
    <t>N1=2850 N</t>
  </si>
  <si>
    <t>N1=2880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</si>
</sst>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-* #,##0.00\ _$_-;\-* #,##0.00\ _$_-;_-* &quot;-&quot;??\ _$_-;_-@_-"/>
    <numFmt numFmtId="165" formatCode="0.0000"/>
    <numFmt numFmtId="166" formatCode="0.000"/>
    <numFmt numFmtId="167" formatCode="0.00000"/>
    <numFmt numFmtId="168" formatCode="0.000E+00"/>
    <numFmt numFmtId="169" formatCode="0.0000000E+00"/>
    <numFmt numFmtId="170" formatCode="0.0000000"/>
    <numFmt numFmtId="171" formatCode="0.000000000"/>
    <numFmt numFmtId="172" formatCode="0.000000"/>
  </numFmts>
  <fonts count="2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color rgb="FF000000"/>
      <name val="Helvetica"/>
      <family val="2"/>
    </font>
    <font>
      <b/>
      <sz val="12"/>
      <color theme="1"/>
      <name val="Calibri"/>
      <family val="2"/>
      <scheme val="minor"/>
    </font>
    <font>
      <sz val="12"/>
      <color theme="1"/>
      <name val="Copperplate Fin"/>
    </font>
    <font>
      <sz val="20"/>
      <color rgb="FFFF0000"/>
      <name val="Helvetica"/>
      <family val="2"/>
    </font>
    <font>
      <b/>
      <sz val="12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12"/>
      <color indexed="11"/>
      <name val="Calibri"/>
      <family val="2"/>
      <scheme val="minor"/>
    </font>
    <font>
      <sz val="12"/>
      <color indexed="8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4"/>
      <name val="Calibri"/>
      <family val="2"/>
      <scheme val="minor"/>
    </font>
    <font>
      <b/>
      <sz val="12"/>
      <name val="Calibri"/>
      <family val="2"/>
      <scheme val="minor"/>
    </font>
    <font>
      <sz val="12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1"/>
        <bgColor indexed="64"/>
      </patternFill>
    </fill>
  </fills>
  <borders count="39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</borders>
  <cellStyleXfs count="88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164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301">
    <xf numFmtId="0" fontId="0" fillId="0" borderId="0" xfId="0"/>
    <xf numFmtId="0" fontId="4" fillId="0" borderId="0" xfId="0" applyFont="1"/>
    <xf numFmtId="0" fontId="5" fillId="0" borderId="0" xfId="0" applyFont="1"/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0" fontId="0" fillId="0" borderId="2" xfId="0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4" fillId="0" borderId="4" xfId="0" applyFont="1" applyBorder="1" applyAlignment="1">
      <alignment horizontal="center"/>
    </xf>
    <xf numFmtId="0" fontId="4" fillId="0" borderId="5" xfId="0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4" fillId="0" borderId="6" xfId="0" applyFont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0" fillId="0" borderId="11" xfId="0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0" fillId="0" borderId="0" xfId="0" applyBorder="1" applyAlignment="1">
      <alignment horizontal="center"/>
    </xf>
    <xf numFmtId="0" fontId="0" fillId="0" borderId="0" xfId="0" applyBorder="1" applyAlignment="1">
      <alignment horizontal="center" vertical="center"/>
    </xf>
    <xf numFmtId="0" fontId="0" fillId="0" borderId="0" xfId="0" applyBorder="1"/>
    <xf numFmtId="0" fontId="0" fillId="0" borderId="0" xfId="0" applyFill="1" applyBorder="1" applyAlignment="1">
      <alignment horizontal="center"/>
    </xf>
    <xf numFmtId="0" fontId="0" fillId="0" borderId="0" xfId="0" applyFill="1" applyBorder="1" applyAlignment="1"/>
    <xf numFmtId="0" fontId="4" fillId="0" borderId="11" xfId="0" applyFont="1" applyFill="1" applyBorder="1" applyAlignment="1">
      <alignment horizontal="center" vertical="center"/>
    </xf>
    <xf numFmtId="165" fontId="0" fillId="0" borderId="11" xfId="0" applyNumberFormat="1" applyBorder="1" applyAlignment="1">
      <alignment horizontal="center"/>
    </xf>
    <xf numFmtId="0" fontId="0" fillId="0" borderId="11" xfId="0" applyFill="1" applyBorder="1" applyAlignment="1">
      <alignment horizontal="center" vertic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Border="1" applyAlignment="1">
      <alignment horizontal="center"/>
    </xf>
    <xf numFmtId="165" fontId="0" fillId="0" borderId="0" xfId="0" applyNumberFormat="1" applyBorder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7" xfId="0" applyNumberFormat="1" applyBorder="1" applyAlignment="1">
      <alignment horizontal="center"/>
    </xf>
    <xf numFmtId="165" fontId="0" fillId="0" borderId="9" xfId="0" applyNumberFormat="1" applyBorder="1" applyAlignment="1">
      <alignment horizontal="center"/>
    </xf>
    <xf numFmtId="165" fontId="0" fillId="0" borderId="10" xfId="0" applyNumberFormat="1" applyBorder="1" applyAlignment="1">
      <alignment horizontal="center"/>
    </xf>
    <xf numFmtId="166" fontId="0" fillId="0" borderId="0" xfId="0" applyNumberFormat="1" applyBorder="1" applyAlignment="1">
      <alignment horizontal="center"/>
    </xf>
    <xf numFmtId="166" fontId="0" fillId="0" borderId="7" xfId="0" applyNumberFormat="1" applyBorder="1" applyAlignment="1">
      <alignment horizontal="center"/>
    </xf>
    <xf numFmtId="166" fontId="0" fillId="0" borderId="9" xfId="0" applyNumberFormat="1" applyBorder="1" applyAlignment="1">
      <alignment horizontal="center"/>
    </xf>
    <xf numFmtId="166" fontId="0" fillId="0" borderId="10" xfId="0" applyNumberFormat="1" applyBorder="1" applyAlignment="1">
      <alignment horizontal="center"/>
    </xf>
    <xf numFmtId="0" fontId="7" fillId="0" borderId="0" xfId="0" applyFont="1" applyBorder="1" applyAlignment="1">
      <alignment horizontal="center"/>
    </xf>
    <xf numFmtId="0" fontId="7" fillId="0" borderId="0" xfId="0" applyFont="1" applyAlignment="1">
      <alignment horizontal="left"/>
    </xf>
    <xf numFmtId="0" fontId="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7" fillId="0" borderId="0" xfId="0" applyFont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166" fontId="0" fillId="0" borderId="0" xfId="0" applyNumberFormat="1" applyBorder="1" applyAlignment="1">
      <alignment horizontal="center" vertical="center"/>
    </xf>
    <xf numFmtId="166" fontId="0" fillId="0" borderId="13" xfId="0" applyNumberFormat="1" applyBorder="1" applyAlignment="1">
      <alignment horizontal="center"/>
    </xf>
    <xf numFmtId="0" fontId="10" fillId="0" borderId="0" xfId="0" applyFont="1" applyAlignment="1">
      <alignment horizontal="left"/>
    </xf>
    <xf numFmtId="0" fontId="10" fillId="0" borderId="0" xfId="0" applyFont="1" applyFill="1" applyBorder="1" applyAlignment="1">
      <alignment horizontal="left"/>
    </xf>
    <xf numFmtId="165" fontId="0" fillId="0" borderId="0" xfId="0" applyNumberFormat="1" applyFont="1" applyBorder="1" applyAlignment="1">
      <alignment horizontal="center"/>
    </xf>
    <xf numFmtId="0" fontId="0" fillId="0" borderId="0" xfId="0" applyNumberFormat="1" applyAlignment="1">
      <alignment horizontal="center"/>
    </xf>
    <xf numFmtId="165" fontId="4" fillId="0" borderId="0" xfId="0" applyNumberFormat="1" applyFont="1" applyAlignment="1">
      <alignment horizontal="left"/>
    </xf>
    <xf numFmtId="166" fontId="5" fillId="0" borderId="0" xfId="0" applyNumberFormat="1" applyFont="1"/>
    <xf numFmtId="166" fontId="0" fillId="0" borderId="0" xfId="0" applyNumberFormat="1"/>
    <xf numFmtId="166" fontId="0" fillId="0" borderId="1" xfId="0" applyNumberFormat="1" applyBorder="1" applyAlignment="1">
      <alignment horizontal="center"/>
    </xf>
    <xf numFmtId="166" fontId="0" fillId="0" borderId="0" xfId="0" applyNumberFormat="1" applyAlignment="1">
      <alignment horizontal="center"/>
    </xf>
    <xf numFmtId="166" fontId="0" fillId="0" borderId="0" xfId="0" applyNumberFormat="1" applyFill="1" applyBorder="1" applyAlignment="1"/>
    <xf numFmtId="166" fontId="4" fillId="0" borderId="4" xfId="0" applyNumberFormat="1" applyFont="1" applyBorder="1" applyAlignment="1">
      <alignment horizontal="center"/>
    </xf>
    <xf numFmtId="166" fontId="0" fillId="0" borderId="4" xfId="0" applyNumberFormat="1" applyBorder="1" applyAlignment="1">
      <alignment horizontal="center"/>
    </xf>
    <xf numFmtId="166" fontId="0" fillId="0" borderId="0" xfId="0" applyNumberFormat="1" applyBorder="1"/>
    <xf numFmtId="165" fontId="4" fillId="0" borderId="0" xfId="0" applyNumberFormat="1" applyFont="1" applyFill="1" applyBorder="1" applyAlignment="1">
      <alignment horizontal="center"/>
    </xf>
    <xf numFmtId="165" fontId="4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166" fontId="0" fillId="0" borderId="0" xfId="0" applyNumberFormat="1" applyAlignment="1">
      <alignment horizontal="left"/>
    </xf>
    <xf numFmtId="165" fontId="0" fillId="0" borderId="0" xfId="0" applyNumberFormat="1" applyFill="1" applyBorder="1" applyAlignment="1">
      <alignment horizontal="center"/>
    </xf>
    <xf numFmtId="165" fontId="0" fillId="0" borderId="0" xfId="0" applyNumberFormat="1" applyFill="1" applyBorder="1" applyAlignment="1">
      <alignment horizontal="center" vertical="center"/>
    </xf>
    <xf numFmtId="0" fontId="7" fillId="0" borderId="0" xfId="0" applyFont="1" applyAlignment="1">
      <alignment horizontal="left" vertical="center"/>
    </xf>
    <xf numFmtId="165" fontId="7" fillId="0" borderId="0" xfId="0" applyNumberFormat="1" applyFont="1" applyFill="1" applyBorder="1" applyAlignment="1">
      <alignment horizontal="left" vertical="center"/>
    </xf>
    <xf numFmtId="165" fontId="0" fillId="0" borderId="0" xfId="0" applyNumberFormat="1" applyAlignment="1">
      <alignment horizontal="center" vertical="center"/>
    </xf>
    <xf numFmtId="9" fontId="0" fillId="0" borderId="0" xfId="0" applyNumberFormat="1" applyAlignment="1">
      <alignment horizontal="center"/>
    </xf>
    <xf numFmtId="0" fontId="7" fillId="0" borderId="0" xfId="0" applyFont="1"/>
    <xf numFmtId="164" fontId="0" fillId="0" borderId="0" xfId="33" applyFont="1"/>
    <xf numFmtId="0" fontId="7" fillId="0" borderId="0" xfId="0" applyFont="1" applyAlignment="1">
      <alignment horizontal="center"/>
    </xf>
    <xf numFmtId="0" fontId="0" fillId="0" borderId="0" xfId="0" applyFont="1" applyAlignment="1">
      <alignment horizontal="center"/>
    </xf>
    <xf numFmtId="168" fontId="0" fillId="0" borderId="0" xfId="0" applyNumberFormat="1" applyAlignment="1">
      <alignment horizontal="center"/>
    </xf>
    <xf numFmtId="166" fontId="8" fillId="0" borderId="15" xfId="0" applyNumberFormat="1" applyFont="1" applyBorder="1" applyAlignment="1">
      <alignment horizontal="center"/>
    </xf>
    <xf numFmtId="166" fontId="0" fillId="0" borderId="12" xfId="0" applyNumberFormat="1" applyBorder="1" applyAlignment="1">
      <alignment horizontal="center"/>
    </xf>
    <xf numFmtId="165" fontId="0" fillId="0" borderId="14" xfId="0" applyNumberFormat="1" applyBorder="1" applyAlignment="1">
      <alignment horizontal="center"/>
    </xf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166" fontId="4" fillId="0" borderId="1" xfId="0" applyNumberFormat="1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169" fontId="0" fillId="0" borderId="0" xfId="0" applyNumberFormat="1"/>
    <xf numFmtId="0" fontId="4" fillId="0" borderId="13" xfId="0" applyNumberFormat="1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166" fontId="4" fillId="0" borderId="0" xfId="0" applyNumberFormat="1" applyFont="1" applyBorder="1" applyAlignment="1">
      <alignment horizontal="center"/>
    </xf>
    <xf numFmtId="0" fontId="4" fillId="0" borderId="0" xfId="0" applyNumberFormat="1" applyFont="1" applyFill="1" applyBorder="1" applyAlignment="1">
      <alignment horizontal="center"/>
    </xf>
    <xf numFmtId="0" fontId="4" fillId="0" borderId="0" xfId="0" applyFont="1" applyBorder="1" applyAlignment="1">
      <alignment horizontal="center"/>
    </xf>
    <xf numFmtId="170" fontId="0" fillId="0" borderId="0" xfId="0" applyNumberFormat="1" applyAlignment="1">
      <alignment horizontal="center"/>
    </xf>
    <xf numFmtId="171" fontId="0" fillId="0" borderId="0" xfId="0" applyNumberFormat="1" applyAlignment="1">
      <alignment horizontal="center"/>
    </xf>
    <xf numFmtId="171" fontId="0" fillId="0" borderId="0" xfId="33" applyNumberFormat="1" applyFont="1" applyAlignment="1">
      <alignment horizontal="center"/>
    </xf>
    <xf numFmtId="165" fontId="0" fillId="0" borderId="0" xfId="0" applyNumberFormat="1" applyFont="1" applyAlignment="1">
      <alignment horizontal="center"/>
    </xf>
    <xf numFmtId="168" fontId="0" fillId="2" borderId="0" xfId="0" applyNumberFormat="1" applyFill="1" applyAlignment="1">
      <alignment horizontal="center"/>
    </xf>
    <xf numFmtId="16" fontId="0" fillId="0" borderId="0" xfId="0" applyNumberFormat="1" applyAlignment="1">
      <alignment horizontal="center"/>
    </xf>
    <xf numFmtId="0" fontId="0" fillId="0" borderId="0" xfId="0" applyFill="1"/>
    <xf numFmtId="170" fontId="0" fillId="0" borderId="0" xfId="0" applyNumberFormat="1" applyFill="1" applyAlignment="1">
      <alignment horizontal="center"/>
    </xf>
    <xf numFmtId="0" fontId="0" fillId="2" borderId="13" xfId="0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Font="1" applyAlignment="1">
      <alignment horizontal="center" vertical="center"/>
    </xf>
    <xf numFmtId="165" fontId="0" fillId="0" borderId="0" xfId="0" applyNumberFormat="1" applyFont="1" applyAlignment="1">
      <alignment horizontal="center" vertical="center"/>
    </xf>
    <xf numFmtId="0" fontId="4" fillId="0" borderId="0" xfId="0" applyFont="1" applyFill="1" applyBorder="1" applyAlignment="1">
      <alignment horizontal="center"/>
    </xf>
    <xf numFmtId="165" fontId="0" fillId="0" borderId="11" xfId="0" applyNumberFormat="1" applyFont="1" applyBorder="1" applyAlignment="1">
      <alignment horizontal="center" vertical="center"/>
    </xf>
    <xf numFmtId="165" fontId="4" fillId="0" borderId="11" xfId="0" applyNumberFormat="1" applyFont="1" applyBorder="1" applyAlignment="1">
      <alignment horizontal="center" vertical="center"/>
    </xf>
    <xf numFmtId="0" fontId="0" fillId="0" borderId="11" xfId="0" applyFont="1" applyBorder="1" applyAlignment="1">
      <alignment horizontal="center" vertical="center"/>
    </xf>
    <xf numFmtId="165" fontId="0" fillId="0" borderId="11" xfId="0" applyNumberFormat="1" applyFill="1" applyBorder="1" applyAlignment="1">
      <alignment horizontal="center"/>
    </xf>
    <xf numFmtId="0" fontId="4" fillId="0" borderId="0" xfId="0" applyFont="1" applyAlignment="1">
      <alignment horizontal="center"/>
    </xf>
    <xf numFmtId="166" fontId="4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0" fillId="0" borderId="11" xfId="0" applyNumberFormat="1" applyFill="1" applyBorder="1" applyAlignment="1">
      <alignment horizontal="center" vertical="center"/>
    </xf>
    <xf numFmtId="166" fontId="7" fillId="3" borderId="0" xfId="0" applyNumberFormat="1" applyFont="1" applyFill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0" fillId="0" borderId="0" xfId="0" applyFill="1" applyAlignment="1">
      <alignment horizontal="center"/>
    </xf>
    <xf numFmtId="166" fontId="0" fillId="0" borderId="0" xfId="0" applyNumberFormat="1" applyFill="1" applyAlignment="1">
      <alignment horizontal="center"/>
    </xf>
    <xf numFmtId="0" fontId="7" fillId="0" borderId="0" xfId="0" applyFont="1" applyFill="1" applyAlignment="1">
      <alignment horizontal="left"/>
    </xf>
    <xf numFmtId="166" fontId="0" fillId="0" borderId="0" xfId="0" applyNumberFormat="1" applyFill="1" applyAlignment="1">
      <alignment horizontal="left"/>
    </xf>
    <xf numFmtId="0" fontId="0" fillId="0" borderId="11" xfId="0" applyBorder="1" applyAlignment="1">
      <alignment horizontal="center"/>
    </xf>
    <xf numFmtId="0" fontId="0" fillId="0" borderId="0" xfId="0" applyFill="1" applyAlignment="1">
      <alignment horizontal="center" vertical="center"/>
    </xf>
    <xf numFmtId="166" fontId="7" fillId="0" borderId="11" xfId="0" applyNumberFormat="1" applyFont="1" applyFill="1" applyBorder="1" applyAlignment="1">
      <alignment horizontal="center" vertical="center"/>
    </xf>
    <xf numFmtId="168" fontId="0" fillId="0" borderId="11" xfId="0" applyNumberFormat="1" applyFill="1" applyBorder="1" applyAlignment="1">
      <alignment horizontal="center"/>
    </xf>
    <xf numFmtId="0" fontId="7" fillId="0" borderId="11" xfId="0" applyFont="1" applyFill="1" applyBorder="1" applyAlignment="1">
      <alignment horizontal="center" vertical="center"/>
    </xf>
    <xf numFmtId="0" fontId="0" fillId="0" borderId="11" xfId="0" applyFill="1" applyBorder="1" applyAlignment="1">
      <alignment horizontal="center"/>
    </xf>
    <xf numFmtId="165" fontId="4" fillId="0" borderId="11" xfId="0" applyNumberFormat="1" applyFont="1" applyBorder="1" applyAlignment="1">
      <alignment horizontal="center"/>
    </xf>
    <xf numFmtId="165" fontId="14" fillId="0" borderId="0" xfId="0" applyNumberFormat="1" applyFont="1" applyBorder="1" applyAlignment="1">
      <alignment horizontal="center" vertical="center"/>
    </xf>
    <xf numFmtId="167" fontId="13" fillId="0" borderId="0" xfId="0" applyNumberFormat="1" applyFont="1" applyBorder="1" applyAlignment="1">
      <alignment horizontal="center" vertical="center"/>
    </xf>
    <xf numFmtId="167" fontId="13" fillId="0" borderId="0" xfId="0" applyNumberFormat="1" applyFont="1" applyFill="1" applyBorder="1" applyAlignment="1">
      <alignment horizontal="center" vertical="center"/>
    </xf>
    <xf numFmtId="167" fontId="0" fillId="0" borderId="0" xfId="0" applyNumberFormat="1" applyFill="1" applyAlignment="1">
      <alignment horizontal="center"/>
    </xf>
    <xf numFmtId="172" fontId="13" fillId="0" borderId="0" xfId="0" applyNumberFormat="1" applyFont="1" applyFill="1" applyBorder="1" applyAlignment="1">
      <alignment horizontal="center"/>
    </xf>
    <xf numFmtId="165" fontId="13" fillId="0" borderId="0" xfId="0" applyNumberFormat="1" applyFont="1" applyFill="1" applyBorder="1" applyAlignment="1">
      <alignment horizontal="center"/>
    </xf>
    <xf numFmtId="167" fontId="0" fillId="0" borderId="0" xfId="0" applyNumberFormat="1"/>
    <xf numFmtId="172" fontId="0" fillId="0" borderId="0" xfId="0" applyNumberFormat="1" applyAlignment="1">
      <alignment horizontal="center" vertical="center"/>
    </xf>
    <xf numFmtId="167" fontId="0" fillId="0" borderId="0" xfId="0" applyNumberFormat="1" applyFill="1"/>
    <xf numFmtId="167" fontId="0" fillId="0" borderId="0" xfId="0" applyNumberFormat="1" applyFill="1" applyBorder="1" applyAlignment="1">
      <alignment horizontal="center" vertical="center"/>
    </xf>
    <xf numFmtId="166" fontId="0" fillId="0" borderId="0" xfId="0" applyNumberFormat="1" applyFill="1" applyBorder="1" applyAlignment="1">
      <alignment horizontal="center" vertical="center"/>
    </xf>
    <xf numFmtId="166" fontId="0" fillId="0" borderId="0" xfId="0" applyNumberFormat="1" applyFill="1" applyBorder="1"/>
    <xf numFmtId="172" fontId="0" fillId="0" borderId="0" xfId="0" applyNumberFormat="1" applyFill="1" applyBorder="1" applyAlignment="1">
      <alignment horizontal="center" vertical="center"/>
    </xf>
    <xf numFmtId="167" fontId="0" fillId="0" borderId="0" xfId="0" applyNumberFormat="1" applyBorder="1" applyAlignment="1">
      <alignment horizontal="center" vertical="center"/>
    </xf>
    <xf numFmtId="167" fontId="0" fillId="0" borderId="23" xfId="0" applyNumberFormat="1" applyFill="1" applyBorder="1" applyAlignment="1">
      <alignment horizontal="center" vertical="center"/>
    </xf>
    <xf numFmtId="167" fontId="0" fillId="0" borderId="27" xfId="0" applyNumberFormat="1" applyFill="1" applyBorder="1" applyAlignment="1">
      <alignment horizontal="center" vertical="center"/>
    </xf>
    <xf numFmtId="167" fontId="0" fillId="0" borderId="28" xfId="0" applyNumberFormat="1" applyFill="1" applyBorder="1" applyAlignment="1">
      <alignment horizontal="center" vertical="center"/>
    </xf>
    <xf numFmtId="0" fontId="0" fillId="0" borderId="27" xfId="0" applyFill="1" applyBorder="1" applyAlignment="1">
      <alignment horizontal="center" vertical="center"/>
    </xf>
    <xf numFmtId="0" fontId="0" fillId="0" borderId="28" xfId="0" applyFill="1" applyBorder="1" applyAlignment="1">
      <alignment horizontal="center" vertical="center"/>
    </xf>
    <xf numFmtId="0" fontId="12" fillId="0" borderId="20" xfId="0" applyFont="1" applyBorder="1" applyAlignment="1">
      <alignment horizontal="center" vertical="center"/>
    </xf>
    <xf numFmtId="0" fontId="12" fillId="0" borderId="30" xfId="0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167" fontId="0" fillId="0" borderId="17" xfId="0" applyNumberFormat="1" applyFill="1" applyBorder="1" applyAlignment="1">
      <alignment horizontal="center" vertical="center"/>
    </xf>
    <xf numFmtId="167" fontId="0" fillId="0" borderId="34" xfId="0" applyNumberFormat="1" applyFill="1" applyBorder="1" applyAlignment="1">
      <alignment horizontal="center" vertical="center"/>
    </xf>
    <xf numFmtId="0" fontId="0" fillId="0" borderId="26" xfId="0" applyFill="1" applyBorder="1" applyAlignment="1">
      <alignment horizontal="center" vertical="center"/>
    </xf>
    <xf numFmtId="167" fontId="0" fillId="0" borderId="26" xfId="0" applyNumberFormat="1" applyFill="1" applyBorder="1" applyAlignment="1">
      <alignment horizontal="center" vertical="center"/>
    </xf>
    <xf numFmtId="167" fontId="0" fillId="0" borderId="16" xfId="0" applyNumberFormat="1" applyFill="1" applyBorder="1" applyAlignment="1">
      <alignment horizontal="center" vertical="center"/>
    </xf>
    <xf numFmtId="167" fontId="0" fillId="0" borderId="32" xfId="0" applyNumberFormat="1" applyFill="1" applyBorder="1" applyAlignment="1">
      <alignment horizontal="center" vertical="center"/>
    </xf>
    <xf numFmtId="11" fontId="0" fillId="0" borderId="0" xfId="33" applyNumberFormat="1" applyFont="1"/>
    <xf numFmtId="167" fontId="4" fillId="0" borderId="0" xfId="0" applyNumberFormat="1" applyFont="1" applyBorder="1" applyAlignment="1">
      <alignment horizontal="center" vertical="center"/>
    </xf>
    <xf numFmtId="0" fontId="12" fillId="0" borderId="25" xfId="0" applyFont="1" applyFill="1" applyBorder="1" applyAlignment="1">
      <alignment horizontal="center" vertical="center"/>
    </xf>
    <xf numFmtId="0" fontId="12" fillId="0" borderId="30" xfId="0" applyFont="1" applyFill="1" applyBorder="1" applyAlignment="1">
      <alignment horizontal="center" vertical="center"/>
    </xf>
    <xf numFmtId="0" fontId="12" fillId="0" borderId="20" xfId="0" applyFont="1" applyFill="1" applyBorder="1" applyAlignment="1">
      <alignment horizontal="center" vertical="center"/>
    </xf>
    <xf numFmtId="0" fontId="7" fillId="0" borderId="21" xfId="0" applyFont="1" applyFill="1" applyBorder="1" applyAlignment="1">
      <alignment horizontal="center" vertical="center"/>
    </xf>
    <xf numFmtId="166" fontId="7" fillId="0" borderId="0" xfId="0" applyNumberFormat="1" applyFont="1" applyBorder="1" applyAlignment="1">
      <alignment horizontal="center" vertical="center"/>
    </xf>
    <xf numFmtId="166" fontId="7" fillId="0" borderId="0" xfId="0" applyNumberFormat="1" applyFont="1" applyAlignment="1">
      <alignment horizontal="center" vertical="center"/>
    </xf>
    <xf numFmtId="166" fontId="16" fillId="0" borderId="11" xfId="0" applyNumberFormat="1" applyFont="1" applyFill="1" applyBorder="1" applyAlignment="1">
      <alignment horizontal="center"/>
    </xf>
    <xf numFmtId="166" fontId="15" fillId="0" borderId="11" xfId="0" applyNumberFormat="1" applyFont="1" applyFill="1" applyBorder="1" applyAlignment="1">
      <alignment horizontal="center"/>
    </xf>
    <xf numFmtId="166" fontId="15" fillId="0" borderId="17" xfId="0" applyNumberFormat="1" applyFont="1" applyFill="1" applyBorder="1" applyAlignment="1">
      <alignment horizontal="center"/>
    </xf>
    <xf numFmtId="166" fontId="0" fillId="0" borderId="27" xfId="0" applyNumberFormat="1" applyBorder="1" applyAlignment="1">
      <alignment horizontal="center"/>
    </xf>
    <xf numFmtId="166" fontId="0" fillId="0" borderId="17" xfId="0" applyNumberFormat="1" applyBorder="1" applyAlignment="1">
      <alignment horizontal="center"/>
    </xf>
    <xf numFmtId="166" fontId="16" fillId="0" borderId="11" xfId="0" applyNumberFormat="1" applyFont="1" applyBorder="1" applyAlignment="1">
      <alignment horizontal="center"/>
    </xf>
    <xf numFmtId="166" fontId="15" fillId="0" borderId="11" xfId="0" applyNumberFormat="1" applyFont="1" applyBorder="1" applyAlignment="1">
      <alignment horizontal="center"/>
    </xf>
    <xf numFmtId="166" fontId="16" fillId="0" borderId="22" xfId="0" applyNumberFormat="1" applyFont="1" applyBorder="1" applyAlignment="1">
      <alignment horizontal="center"/>
    </xf>
    <xf numFmtId="166" fontId="16" fillId="0" borderId="27" xfId="0" applyNumberFormat="1" applyFont="1" applyFill="1" applyBorder="1" applyAlignment="1">
      <alignment horizontal="center"/>
    </xf>
    <xf numFmtId="166" fontId="16" fillId="0" borderId="27" xfId="0" applyNumberFormat="1" applyFont="1" applyBorder="1" applyAlignment="1">
      <alignment horizontal="center"/>
    </xf>
    <xf numFmtId="166" fontId="15" fillId="0" borderId="19" xfId="0" applyNumberFormat="1" applyFont="1" applyFill="1" applyBorder="1" applyAlignment="1">
      <alignment horizontal="center"/>
    </xf>
    <xf numFmtId="166" fontId="16" fillId="0" borderId="19" xfId="0" applyNumberFormat="1" applyFont="1" applyFill="1" applyBorder="1" applyAlignment="1">
      <alignment horizontal="center"/>
    </xf>
    <xf numFmtId="166" fontId="15" fillId="0" borderId="31" xfId="0" applyNumberFormat="1" applyFont="1" applyFill="1" applyBorder="1" applyAlignment="1">
      <alignment horizontal="center"/>
    </xf>
    <xf numFmtId="166" fontId="0" fillId="0" borderId="28" xfId="0" applyNumberFormat="1" applyBorder="1" applyAlignment="1">
      <alignment horizontal="center"/>
    </xf>
    <xf numFmtId="166" fontId="0" fillId="0" borderId="34" xfId="0" applyNumberFormat="1" applyBorder="1" applyAlignment="1">
      <alignment horizontal="center"/>
    </xf>
    <xf numFmtId="166" fontId="15" fillId="0" borderId="23" xfId="0" applyNumberFormat="1" applyFont="1" applyBorder="1" applyAlignment="1">
      <alignment horizontal="center"/>
    </xf>
    <xf numFmtId="166" fontId="16" fillId="0" borderId="23" xfId="0" applyNumberFormat="1" applyFont="1" applyBorder="1" applyAlignment="1">
      <alignment horizontal="center"/>
    </xf>
    <xf numFmtId="166" fontId="16" fillId="0" borderId="25" xfId="0" applyNumberFormat="1" applyFont="1" applyFill="1" applyBorder="1" applyAlignment="1">
      <alignment horizontal="center"/>
    </xf>
    <xf numFmtId="166" fontId="15" fillId="0" borderId="20" xfId="0" applyNumberFormat="1" applyFont="1" applyFill="1" applyBorder="1" applyAlignment="1">
      <alignment horizontal="center"/>
    </xf>
    <xf numFmtId="166" fontId="16" fillId="0" borderId="20" xfId="0" applyNumberFormat="1" applyFont="1" applyFill="1" applyBorder="1" applyAlignment="1">
      <alignment horizontal="center"/>
    </xf>
    <xf numFmtId="166" fontId="15" fillId="0" borderId="30" xfId="0" applyNumberFormat="1" applyFont="1" applyFill="1" applyBorder="1" applyAlignment="1">
      <alignment horizontal="center"/>
    </xf>
    <xf numFmtId="166" fontId="0" fillId="0" borderId="25" xfId="0" applyNumberFormat="1" applyBorder="1" applyAlignment="1">
      <alignment horizontal="center"/>
    </xf>
    <xf numFmtId="166" fontId="0" fillId="0" borderId="30" xfId="0" applyNumberFormat="1" applyBorder="1" applyAlignment="1">
      <alignment horizontal="center"/>
    </xf>
    <xf numFmtId="166" fontId="16" fillId="0" borderId="25" xfId="0" applyNumberFormat="1" applyFont="1" applyBorder="1" applyAlignment="1">
      <alignment horizontal="center"/>
    </xf>
    <xf numFmtId="166" fontId="15" fillId="0" borderId="20" xfId="0" applyNumberFormat="1" applyFont="1" applyBorder="1" applyAlignment="1">
      <alignment horizontal="center"/>
    </xf>
    <xf numFmtId="166" fontId="16" fillId="0" borderId="20" xfId="0" applyNumberFormat="1" applyFont="1" applyBorder="1" applyAlignment="1">
      <alignment horizontal="center"/>
    </xf>
    <xf numFmtId="166" fontId="16" fillId="0" borderId="23" xfId="0" applyNumberFormat="1" applyFont="1" applyFill="1" applyBorder="1" applyAlignment="1">
      <alignment horizontal="center"/>
    </xf>
    <xf numFmtId="166" fontId="15" fillId="0" borderId="34" xfId="0" applyNumberFormat="1" applyFont="1" applyFill="1" applyBorder="1" applyAlignment="1">
      <alignment horizontal="center"/>
    </xf>
    <xf numFmtId="166" fontId="16" fillId="0" borderId="24" xfId="0" applyNumberFormat="1" applyFont="1" applyBorder="1" applyAlignment="1">
      <alignment horizontal="center"/>
    </xf>
    <xf numFmtId="0" fontId="0" fillId="0" borderId="11" xfId="0" applyFill="1" applyBorder="1" applyAlignment="1">
      <alignment horizontal="center"/>
    </xf>
    <xf numFmtId="0" fontId="0" fillId="0" borderId="0" xfId="0" applyBorder="1" applyAlignment="1">
      <alignment horizontal="center"/>
    </xf>
    <xf numFmtId="11" fontId="0" fillId="4" borderId="0" xfId="0" applyNumberFormat="1" applyFill="1" applyAlignment="1">
      <alignment horizontal="center" vertical="center"/>
    </xf>
    <xf numFmtId="11" fontId="0" fillId="0" borderId="0" xfId="0" applyNumberFormat="1" applyFill="1" applyAlignment="1">
      <alignment horizontal="center" vertical="center"/>
    </xf>
    <xf numFmtId="166" fontId="15" fillId="0" borderId="27" xfId="0" applyNumberFormat="1" applyFont="1" applyFill="1" applyBorder="1" applyAlignment="1">
      <alignment horizontal="center"/>
    </xf>
    <xf numFmtId="166" fontId="15" fillId="0" borderId="35" xfId="0" applyNumberFormat="1" applyFont="1" applyFill="1" applyBorder="1" applyAlignment="1">
      <alignment horizontal="center"/>
    </xf>
    <xf numFmtId="166" fontId="15" fillId="0" borderId="28" xfId="0" applyNumberFormat="1" applyFont="1" applyFill="1" applyBorder="1" applyAlignment="1">
      <alignment horizontal="center"/>
    </xf>
    <xf numFmtId="166" fontId="15" fillId="0" borderId="23" xfId="0" applyNumberFormat="1" applyFont="1" applyFill="1" applyBorder="1" applyAlignment="1">
      <alignment horizontal="center"/>
    </xf>
    <xf numFmtId="166" fontId="15" fillId="0" borderId="27" xfId="0" applyNumberFormat="1" applyFont="1" applyBorder="1" applyAlignment="1">
      <alignment horizontal="center"/>
    </xf>
    <xf numFmtId="166" fontId="15" fillId="0" borderId="22" xfId="0" applyNumberFormat="1" applyFont="1" applyBorder="1" applyAlignment="1">
      <alignment horizontal="center"/>
    </xf>
    <xf numFmtId="166" fontId="15" fillId="0" borderId="28" xfId="0" applyNumberFormat="1" applyFont="1" applyBorder="1" applyAlignment="1">
      <alignment horizontal="center"/>
    </xf>
    <xf numFmtId="166" fontId="15" fillId="0" borderId="21" xfId="0" applyNumberFormat="1" applyFont="1" applyBorder="1" applyAlignment="1">
      <alignment horizontal="center"/>
    </xf>
    <xf numFmtId="0" fontId="12" fillId="0" borderId="0" xfId="0" applyFont="1" applyBorder="1" applyAlignment="1">
      <alignment horizontal="center" vertical="center"/>
    </xf>
    <xf numFmtId="166" fontId="15" fillId="3" borderId="11" xfId="0" applyNumberFormat="1" applyFont="1" applyFill="1" applyBorder="1" applyAlignment="1">
      <alignment horizontal="center"/>
    </xf>
    <xf numFmtId="166" fontId="0" fillId="3" borderId="27" xfId="0" applyNumberFormat="1" applyFill="1" applyBorder="1" applyAlignment="1">
      <alignment horizontal="center"/>
    </xf>
    <xf numFmtId="166" fontId="0" fillId="3" borderId="17" xfId="0" applyNumberFormat="1" applyFill="1" applyBorder="1" applyAlignment="1">
      <alignment horizontal="center"/>
    </xf>
    <xf numFmtId="0" fontId="7" fillId="0" borderId="0" xfId="0" applyFont="1" applyFill="1" applyBorder="1" applyAlignment="1">
      <alignment horizontal="center" vertical="center"/>
    </xf>
    <xf numFmtId="166" fontId="15" fillId="0" borderId="0" xfId="0" applyNumberFormat="1" applyFont="1" applyBorder="1" applyAlignment="1">
      <alignment horizontal="center"/>
    </xf>
    <xf numFmtId="166" fontId="16" fillId="0" borderId="0" xfId="0" applyNumberFormat="1" applyFont="1" applyBorder="1" applyAlignment="1">
      <alignment horizontal="center"/>
    </xf>
    <xf numFmtId="0" fontId="0" fillId="2" borderId="27" xfId="0" applyFill="1" applyBorder="1" applyAlignment="1">
      <alignment horizontal="center" vertical="center"/>
    </xf>
    <xf numFmtId="166" fontId="0" fillId="0" borderId="27" xfId="0" applyNumberFormat="1" applyFill="1" applyBorder="1" applyAlignment="1">
      <alignment horizontal="center"/>
    </xf>
    <xf numFmtId="166" fontId="0" fillId="0" borderId="17" xfId="0" applyNumberFormat="1" applyFill="1" applyBorder="1" applyAlignment="1">
      <alignment horizontal="center"/>
    </xf>
    <xf numFmtId="0" fontId="7" fillId="0" borderId="37" xfId="0" applyFont="1" applyBorder="1"/>
    <xf numFmtId="166" fontId="16" fillId="0" borderId="22" xfId="0" applyNumberFormat="1" applyFont="1" applyFill="1" applyBorder="1" applyAlignment="1">
      <alignment horizontal="center"/>
    </xf>
    <xf numFmtId="166" fontId="15" fillId="2" borderId="11" xfId="0" applyNumberFormat="1" applyFont="1" applyFill="1" applyBorder="1" applyAlignment="1">
      <alignment horizontal="center"/>
    </xf>
    <xf numFmtId="166" fontId="0" fillId="2" borderId="17" xfId="0" applyNumberFormat="1" applyFill="1" applyBorder="1" applyAlignment="1">
      <alignment horizontal="center"/>
    </xf>
    <xf numFmtId="166" fontId="0" fillId="2" borderId="27" xfId="0" applyNumberFormat="1" applyFill="1" applyBorder="1" applyAlignment="1">
      <alignment horizontal="center"/>
    </xf>
    <xf numFmtId="166" fontId="0" fillId="0" borderId="27" xfId="0" applyNumberFormat="1" applyFont="1" applyFill="1" applyBorder="1" applyAlignment="1">
      <alignment horizontal="center"/>
    </xf>
    <xf numFmtId="166" fontId="0" fillId="0" borderId="11" xfId="0" applyNumberFormat="1" applyFont="1" applyFill="1" applyBorder="1" applyAlignment="1">
      <alignment horizontal="center"/>
    </xf>
    <xf numFmtId="166" fontId="0" fillId="0" borderId="17" xfId="0" applyNumberFormat="1" applyFont="1" applyFill="1" applyBorder="1" applyAlignment="1">
      <alignment horizontal="center"/>
    </xf>
    <xf numFmtId="166" fontId="0" fillId="0" borderId="27" xfId="0" applyNumberFormat="1" applyFont="1" applyBorder="1" applyAlignment="1">
      <alignment horizontal="center"/>
    </xf>
    <xf numFmtId="166" fontId="0" fillId="0" borderId="17" xfId="0" applyNumberFormat="1" applyFont="1" applyBorder="1" applyAlignment="1">
      <alignment horizontal="center"/>
    </xf>
    <xf numFmtId="166" fontId="0" fillId="0" borderId="11" xfId="0" applyNumberFormat="1" applyFont="1" applyBorder="1" applyAlignment="1">
      <alignment horizontal="center"/>
    </xf>
    <xf numFmtId="166" fontId="0" fillId="0" borderId="22" xfId="0" applyNumberFormat="1" applyFont="1" applyBorder="1" applyAlignment="1">
      <alignment horizontal="center"/>
    </xf>
    <xf numFmtId="166" fontId="0" fillId="0" borderId="35" xfId="0" applyNumberFormat="1" applyFont="1" applyFill="1" applyBorder="1" applyAlignment="1">
      <alignment horizontal="center"/>
    </xf>
    <xf numFmtId="166" fontId="0" fillId="0" borderId="19" xfId="0" applyNumberFormat="1" applyFont="1" applyFill="1" applyBorder="1" applyAlignment="1">
      <alignment horizontal="center"/>
    </xf>
    <xf numFmtId="166" fontId="0" fillId="0" borderId="31" xfId="0" applyNumberFormat="1" applyFont="1" applyFill="1" applyBorder="1" applyAlignment="1">
      <alignment horizontal="center"/>
    </xf>
    <xf numFmtId="166" fontId="0" fillId="0" borderId="28" xfId="0" applyNumberFormat="1" applyFont="1" applyBorder="1" applyAlignment="1">
      <alignment horizontal="center"/>
    </xf>
    <xf numFmtId="166" fontId="0" fillId="0" borderId="34" xfId="0" applyNumberFormat="1" applyFont="1" applyBorder="1" applyAlignment="1">
      <alignment horizontal="center"/>
    </xf>
    <xf numFmtId="166" fontId="0" fillId="0" borderId="23" xfId="0" applyNumberFormat="1" applyFont="1" applyBorder="1" applyAlignment="1">
      <alignment horizontal="center"/>
    </xf>
    <xf numFmtId="166" fontId="0" fillId="0" borderId="24" xfId="0" applyNumberFormat="1" applyFont="1" applyBorder="1" applyAlignment="1">
      <alignment horizontal="center"/>
    </xf>
    <xf numFmtId="166" fontId="0" fillId="0" borderId="25" xfId="0" applyNumberFormat="1" applyFont="1" applyFill="1" applyBorder="1" applyAlignment="1">
      <alignment horizontal="center"/>
    </xf>
    <xf numFmtId="166" fontId="0" fillId="0" borderId="20" xfId="0" applyNumberFormat="1" applyFont="1" applyFill="1" applyBorder="1" applyAlignment="1">
      <alignment horizontal="center"/>
    </xf>
    <xf numFmtId="166" fontId="0" fillId="0" borderId="30" xfId="0" applyNumberFormat="1" applyFont="1" applyFill="1" applyBorder="1" applyAlignment="1">
      <alignment horizontal="center"/>
    </xf>
    <xf numFmtId="166" fontId="0" fillId="0" borderId="25" xfId="0" applyNumberFormat="1" applyFont="1" applyBorder="1" applyAlignment="1">
      <alignment horizontal="center"/>
    </xf>
    <xf numFmtId="166" fontId="0" fillId="0" borderId="30" xfId="0" applyNumberFormat="1" applyFont="1" applyBorder="1" applyAlignment="1">
      <alignment horizontal="center"/>
    </xf>
    <xf numFmtId="166" fontId="0" fillId="0" borderId="20" xfId="0" applyNumberFormat="1" applyFont="1" applyBorder="1" applyAlignment="1">
      <alignment horizontal="center"/>
    </xf>
    <xf numFmtId="166" fontId="0" fillId="0" borderId="21" xfId="0" applyNumberFormat="1" applyFont="1" applyBorder="1" applyAlignment="1">
      <alignment horizontal="center"/>
    </xf>
    <xf numFmtId="166" fontId="0" fillId="0" borderId="28" xfId="0" applyNumberFormat="1" applyFont="1" applyFill="1" applyBorder="1" applyAlignment="1">
      <alignment horizontal="center"/>
    </xf>
    <xf numFmtId="166" fontId="0" fillId="0" borderId="23" xfId="0" applyNumberFormat="1" applyFont="1" applyFill="1" applyBorder="1" applyAlignment="1">
      <alignment horizontal="center"/>
    </xf>
    <xf numFmtId="166" fontId="0" fillId="0" borderId="34" xfId="0" applyNumberFormat="1" applyFont="1" applyFill="1" applyBorder="1" applyAlignment="1">
      <alignment horizontal="center"/>
    </xf>
    <xf numFmtId="166" fontId="17" fillId="5" borderId="27" xfId="0" applyNumberFormat="1" applyFont="1" applyFill="1" applyBorder="1" applyAlignment="1">
      <alignment horizontal="center"/>
    </xf>
    <xf numFmtId="166" fontId="17" fillId="5" borderId="11" xfId="0" applyNumberFormat="1" applyFont="1" applyFill="1" applyBorder="1" applyAlignment="1">
      <alignment horizontal="center"/>
    </xf>
    <xf numFmtId="166" fontId="17" fillId="5" borderId="17" xfId="0" applyNumberFormat="1" applyFont="1" applyFill="1" applyBorder="1" applyAlignment="1">
      <alignment horizontal="center"/>
    </xf>
    <xf numFmtId="166" fontId="0" fillId="0" borderId="22" xfId="0" applyNumberFormat="1" applyFont="1" applyFill="1" applyBorder="1" applyAlignment="1">
      <alignment horizontal="center"/>
    </xf>
    <xf numFmtId="0" fontId="17" fillId="5" borderId="27" xfId="0" applyFont="1" applyFill="1" applyBorder="1" applyAlignment="1">
      <alignment horizontal="center" vertical="center"/>
    </xf>
    <xf numFmtId="0" fontId="12" fillId="0" borderId="11" xfId="0" applyFont="1" applyBorder="1" applyAlignment="1">
      <alignment horizontal="center" vertical="center"/>
    </xf>
    <xf numFmtId="0" fontId="17" fillId="5" borderId="11" xfId="0" applyFont="1" applyFill="1" applyBorder="1" applyAlignment="1">
      <alignment horizontal="center" vertical="center"/>
    </xf>
    <xf numFmtId="0" fontId="0" fillId="0" borderId="11" xfId="0" applyFont="1" applyFill="1" applyBorder="1" applyAlignment="1">
      <alignment horizontal="center" vertical="center"/>
    </xf>
    <xf numFmtId="0" fontId="12" fillId="0" borderId="11" xfId="0" applyFont="1" applyFill="1" applyBorder="1" applyAlignment="1">
      <alignment horizontal="center" vertical="center"/>
    </xf>
    <xf numFmtId="1" fontId="0" fillId="0" borderId="11" xfId="0" applyNumberFormat="1" applyFill="1" applyBorder="1" applyAlignment="1">
      <alignment horizontal="center" vertical="center"/>
    </xf>
    <xf numFmtId="1" fontId="0" fillId="0" borderId="23" xfId="0" applyNumberFormat="1" applyFill="1" applyBorder="1" applyAlignment="1">
      <alignment horizontal="center" vertical="center"/>
    </xf>
    <xf numFmtId="1" fontId="0" fillId="0" borderId="17" xfId="0" applyNumberFormat="1" applyFill="1" applyBorder="1" applyAlignment="1">
      <alignment horizontal="center" vertical="center"/>
    </xf>
    <xf numFmtId="1" fontId="0" fillId="0" borderId="34" xfId="0" applyNumberFormat="1" applyFill="1" applyBorder="1" applyAlignment="1">
      <alignment horizontal="center" vertical="center"/>
    </xf>
    <xf numFmtId="172" fontId="0" fillId="0" borderId="0" xfId="0" applyNumberFormat="1" applyFill="1" applyBorder="1" applyAlignment="1">
      <alignment horizontal="center" vertical="center"/>
    </xf>
    <xf numFmtId="1" fontId="0" fillId="0" borderId="19" xfId="0" applyNumberFormat="1" applyFill="1" applyBorder="1" applyAlignment="1">
      <alignment horizontal="center" vertical="center"/>
    </xf>
    <xf numFmtId="1" fontId="0" fillId="0" borderId="16" xfId="0" applyNumberFormat="1" applyFill="1" applyBorder="1" applyAlignment="1">
      <alignment horizontal="center" vertical="center"/>
    </xf>
    <xf numFmtId="1" fontId="0" fillId="0" borderId="32" xfId="0" applyNumberFormat="1" applyFill="1" applyBorder="1" applyAlignment="1">
      <alignment horizontal="center" vertical="center"/>
    </xf>
    <xf numFmtId="1" fontId="17" fillId="5" borderId="11" xfId="0" applyNumberFormat="1" applyFont="1" applyFill="1" applyBorder="1" applyAlignment="1">
      <alignment horizontal="center" vertical="center"/>
    </xf>
    <xf numFmtId="1" fontId="17" fillId="5" borderId="17" xfId="0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center"/>
    </xf>
    <xf numFmtId="165" fontId="12" fillId="0" borderId="25" xfId="0" applyNumberFormat="1" applyFont="1" applyBorder="1" applyAlignment="1">
      <alignment horizontal="center" vertical="center"/>
    </xf>
    <xf numFmtId="165" fontId="12" fillId="0" borderId="20" xfId="0" applyNumberFormat="1" applyFont="1" applyBorder="1" applyAlignment="1">
      <alignment horizontal="center" vertical="center"/>
    </xf>
    <xf numFmtId="1" fontId="17" fillId="5" borderId="19" xfId="0" applyNumberFormat="1" applyFont="1" applyFill="1" applyBorder="1" applyAlignment="1">
      <alignment horizontal="center" vertical="center"/>
    </xf>
    <xf numFmtId="1" fontId="17" fillId="5" borderId="16" xfId="0" applyNumberFormat="1" applyFont="1" applyFill="1" applyBorder="1" applyAlignment="1">
      <alignment horizontal="center" vertical="center"/>
    </xf>
    <xf numFmtId="1" fontId="0" fillId="0" borderId="29" xfId="0" applyNumberFormat="1" applyFill="1" applyBorder="1" applyAlignment="1">
      <alignment horizontal="center" vertical="center"/>
    </xf>
    <xf numFmtId="1" fontId="0" fillId="0" borderId="31" xfId="0" applyNumberFormat="1" applyFill="1" applyBorder="1" applyAlignment="1">
      <alignment horizontal="center" vertical="center"/>
    </xf>
    <xf numFmtId="1" fontId="17" fillId="5" borderId="31" xfId="0" applyNumberFormat="1" applyFont="1" applyFill="1" applyBorder="1" applyAlignment="1">
      <alignment horizontal="center" vertical="center"/>
    </xf>
    <xf numFmtId="1" fontId="17" fillId="5" borderId="32" xfId="0" applyNumberFormat="1" applyFont="1" applyFill="1" applyBorder="1" applyAlignment="1">
      <alignment horizontal="center" vertical="center"/>
    </xf>
    <xf numFmtId="1" fontId="0" fillId="0" borderId="33" xfId="0" applyNumberFormat="1" applyFill="1" applyBorder="1" applyAlignment="1">
      <alignment horizontal="center" vertical="center"/>
    </xf>
    <xf numFmtId="0" fontId="7" fillId="0" borderId="1" xfId="0" applyFont="1" applyBorder="1" applyAlignment="1">
      <alignment horizontal="center"/>
    </xf>
    <xf numFmtId="0" fontId="7" fillId="0" borderId="38" xfId="0" applyFont="1" applyBorder="1" applyAlignment="1">
      <alignment horizontal="center"/>
    </xf>
    <xf numFmtId="0" fontId="7" fillId="0" borderId="2" xfId="0" applyFont="1" applyBorder="1" applyAlignment="1">
      <alignment horizontal="center"/>
    </xf>
    <xf numFmtId="1" fontId="0" fillId="2" borderId="11" xfId="0" applyNumberFormat="1" applyFill="1" applyBorder="1" applyAlignment="1">
      <alignment horizontal="center" vertical="center"/>
    </xf>
    <xf numFmtId="1" fontId="0" fillId="2" borderId="19" xfId="0" applyNumberFormat="1" applyFill="1" applyBorder="1" applyAlignment="1">
      <alignment horizontal="center" vertical="center"/>
    </xf>
    <xf numFmtId="1" fontId="0" fillId="2" borderId="16" xfId="0" applyNumberFormat="1" applyFill="1" applyBorder="1" applyAlignment="1">
      <alignment horizontal="center" vertical="center"/>
    </xf>
    <xf numFmtId="0" fontId="0" fillId="0" borderId="9" xfId="0" applyBorder="1" applyAlignment="1">
      <alignment horizontal="center"/>
    </xf>
    <xf numFmtId="1" fontId="0" fillId="0" borderId="11" xfId="0" applyNumberFormat="1" applyFont="1" applyFill="1" applyBorder="1" applyAlignment="1">
      <alignment horizontal="center" vertical="center"/>
    </xf>
    <xf numFmtId="165" fontId="12" fillId="0" borderId="11" xfId="0" applyNumberFormat="1" applyFont="1" applyBorder="1" applyAlignment="1">
      <alignment horizontal="center" vertical="center"/>
    </xf>
    <xf numFmtId="165" fontId="12" fillId="0" borderId="11" xfId="0" applyNumberFormat="1" applyFont="1" applyFill="1" applyBorder="1" applyAlignment="1">
      <alignment horizontal="center" vertical="center"/>
    </xf>
    <xf numFmtId="0" fontId="0" fillId="0" borderId="7" xfId="0" applyBorder="1" applyAlignment="1">
      <alignment horizontal="center" wrapText="1"/>
    </xf>
    <xf numFmtId="0" fontId="0" fillId="0" borderId="11" xfId="0" applyBorder="1" applyAlignment="1">
      <alignment horizontal="center"/>
    </xf>
    <xf numFmtId="0" fontId="0" fillId="0" borderId="11" xfId="0" applyFill="1" applyBorder="1" applyAlignment="1">
      <alignment horizontal="center"/>
    </xf>
    <xf numFmtId="1" fontId="0" fillId="0" borderId="17" xfId="0" applyNumberFormat="1" applyFill="1" applyBorder="1" applyAlignment="1">
      <alignment horizontal="center"/>
    </xf>
    <xf numFmtId="1" fontId="0" fillId="0" borderId="18" xfId="0" applyNumberFormat="1" applyFill="1" applyBorder="1" applyAlignment="1">
      <alignment horizontal="center"/>
    </xf>
    <xf numFmtId="1" fontId="0" fillId="0" borderId="36" xfId="0" applyNumberFormat="1" applyFill="1" applyBorder="1" applyAlignment="1">
      <alignment horizontal="center"/>
    </xf>
    <xf numFmtId="165" fontId="0" fillId="0" borderId="11" xfId="0" applyNumberFormat="1" applyFont="1" applyBorder="1" applyAlignment="1">
      <alignment horizontal="center" vertical="center"/>
    </xf>
    <xf numFmtId="1" fontId="0" fillId="0" borderId="11" xfId="0" applyNumberFormat="1" applyFill="1" applyBorder="1" applyAlignment="1">
      <alignment horizontal="center"/>
    </xf>
    <xf numFmtId="165" fontId="12" fillId="0" borderId="0" xfId="0" applyNumberFormat="1" applyFont="1" applyBorder="1" applyAlignment="1">
      <alignment horizontal="center" vertical="center"/>
    </xf>
    <xf numFmtId="1" fontId="0" fillId="2" borderId="31" xfId="0" applyNumberFormat="1" applyFill="1" applyBorder="1" applyAlignment="1">
      <alignment horizontal="center" vertical="center"/>
    </xf>
    <xf numFmtId="1" fontId="0" fillId="2" borderId="32" xfId="0" applyNumberFormat="1" applyFill="1" applyBorder="1" applyAlignment="1">
      <alignment horizontal="center" vertical="center"/>
    </xf>
    <xf numFmtId="1" fontId="0" fillId="2" borderId="17" xfId="0" applyNumberFormat="1" applyFill="1" applyBorder="1" applyAlignment="1">
      <alignment horizontal="center" vertical="center"/>
    </xf>
    <xf numFmtId="165" fontId="18" fillId="0" borderId="0" xfId="0" applyNumberFormat="1" applyFont="1" applyFill="1" applyBorder="1" applyAlignment="1">
      <alignment horizontal="center" vertical="center"/>
    </xf>
    <xf numFmtId="0" fontId="18" fillId="0" borderId="0" xfId="0" applyFont="1" applyFill="1" applyBorder="1" applyAlignment="1">
      <alignment horizontal="center" vertical="center"/>
    </xf>
    <xf numFmtId="0" fontId="19" fillId="0" borderId="0" xfId="0" applyFont="1" applyFill="1" applyBorder="1" applyAlignment="1">
      <alignment horizontal="center" vertical="center"/>
    </xf>
    <xf numFmtId="0" fontId="20" fillId="0" borderId="0" xfId="0" applyFont="1" applyFill="1" applyBorder="1" applyAlignment="1">
      <alignment horizontal="center" vertical="center"/>
    </xf>
    <xf numFmtId="1" fontId="20" fillId="0" borderId="0" xfId="0" applyNumberFormat="1" applyFont="1" applyFill="1" applyBorder="1" applyAlignment="1">
      <alignment horizontal="center" vertical="center"/>
    </xf>
    <xf numFmtId="167" fontId="20" fillId="0" borderId="0" xfId="0" applyNumberFormat="1" applyFont="1" applyFill="1" applyBorder="1" applyAlignment="1">
      <alignment horizontal="center" vertical="center"/>
    </xf>
    <xf numFmtId="166" fontId="20" fillId="0" borderId="0" xfId="0" applyNumberFormat="1" applyFont="1" applyFill="1" applyBorder="1" applyAlignment="1">
      <alignment horizontal="center"/>
    </xf>
  </cellXfs>
  <cellStyles count="88">
    <cellStyle name="Comma" xfId="33" builtinId="3"/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Followed Hyperlink" xfId="51" builtinId="9" hidden="1"/>
    <cellStyle name="Followed Hyperlink" xfId="53" builtinId="9" hidden="1"/>
    <cellStyle name="Followed Hyperlink" xfId="55" builtinId="9" hidden="1"/>
    <cellStyle name="Followed Hyperlink" xfId="57" builtinId="9" hidden="1"/>
    <cellStyle name="Followed Hyperlink" xfId="59" builtinId="9" hidden="1"/>
    <cellStyle name="Followed Hyperlink" xfId="61" builtinId="9" hidden="1"/>
    <cellStyle name="Followed Hyperlink" xfId="63" builtinId="9" hidden="1"/>
    <cellStyle name="Followed Hyperlink" xfId="65" builtinId="9" hidden="1"/>
    <cellStyle name="Followed Hyperlink" xfId="67" builtinId="9" hidden="1"/>
    <cellStyle name="Followed Hyperlink" xfId="69" builtinId="9" hidden="1"/>
    <cellStyle name="Followed Hyperlink" xfId="71" builtinId="9" hidden="1"/>
    <cellStyle name="Followed Hyperlink" xfId="73" builtinId="9" hidden="1"/>
    <cellStyle name="Followed Hyperlink" xfId="75" builtinId="9" hidden="1"/>
    <cellStyle name="Followed Hyperlink" xfId="77" builtinId="9" hidden="1"/>
    <cellStyle name="Followed Hyperlink" xfId="79" builtinId="9" hidden="1"/>
    <cellStyle name="Followed Hyperlink" xfId="81" builtinId="9" hidden="1"/>
    <cellStyle name="Followed Hyperlink" xfId="83" builtinId="9" hidden="1"/>
    <cellStyle name="Followed Hyperlink" xfId="85" builtinId="9" hidden="1"/>
    <cellStyle name="Followed Hyperlink" xfId="87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Hyperlink" xfId="50" builtinId="8" hidden="1"/>
    <cellStyle name="Hyperlink" xfId="52" builtinId="8" hidden="1"/>
    <cellStyle name="Hyperlink" xfId="54" builtinId="8" hidden="1"/>
    <cellStyle name="Hyperlink" xfId="56" builtinId="8" hidden="1"/>
    <cellStyle name="Hyperlink" xfId="58" builtinId="8" hidden="1"/>
    <cellStyle name="Hyperlink" xfId="60" builtinId="8" hidden="1"/>
    <cellStyle name="Hyperlink" xfId="62" builtinId="8" hidden="1"/>
    <cellStyle name="Hyperlink" xfId="64" builtinId="8" hidden="1"/>
    <cellStyle name="Hyperlink" xfId="66" builtinId="8" hidden="1"/>
    <cellStyle name="Hyperlink" xfId="68" builtinId="8" hidden="1"/>
    <cellStyle name="Hyperlink" xfId="70" builtinId="8" hidden="1"/>
    <cellStyle name="Hyperlink" xfId="72" builtinId="8" hidden="1"/>
    <cellStyle name="Hyperlink" xfId="74" builtinId="8" hidden="1"/>
    <cellStyle name="Hyperlink" xfId="76" builtinId="8" hidden="1"/>
    <cellStyle name="Hyperlink" xfId="78" builtinId="8" hidden="1"/>
    <cellStyle name="Hyperlink" xfId="80" builtinId="8" hidden="1"/>
    <cellStyle name="Hyperlink" xfId="82" builtinId="8" hidden="1"/>
    <cellStyle name="Hyperlink" xfId="84" builtinId="8" hidden="1"/>
    <cellStyle name="Hyperlink" xfId="86" builtinId="8" hidden="1"/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25400</xdr:rowOff>
        </xdr:from>
        <xdr:to>
          <xdr:col>1</xdr:col>
          <xdr:colOff>787400</xdr:colOff>
          <xdr:row>3</xdr:row>
          <xdr:rowOff>50800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Graphite/epoxy (T300/N5208)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</xdr:row>
          <xdr:rowOff>63500</xdr:rowOff>
        </xdr:from>
        <xdr:to>
          <xdr:col>1</xdr:col>
          <xdr:colOff>787400</xdr:colOff>
          <xdr:row>5</xdr:row>
          <xdr:rowOff>88900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Fiberglass (E-glass/epoxy)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</xdr:row>
          <xdr:rowOff>101600</xdr:rowOff>
        </xdr:from>
        <xdr:to>
          <xdr:col>1</xdr:col>
          <xdr:colOff>787400</xdr:colOff>
          <xdr:row>7</xdr:row>
          <xdr:rowOff>127000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Kevlar/epoxy (Kev49/epoxy)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7</xdr:row>
          <xdr:rowOff>139700</xdr:rowOff>
        </xdr:from>
        <xdr:to>
          <xdr:col>1</xdr:col>
          <xdr:colOff>787400</xdr:colOff>
          <xdr:row>9</xdr:row>
          <xdr:rowOff>165100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Graphite/epoxy (AS/H3501)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9</xdr:row>
          <xdr:rowOff>177800</xdr:rowOff>
        </xdr:from>
        <xdr:to>
          <xdr:col>1</xdr:col>
          <xdr:colOff>787400</xdr:colOff>
          <xdr:row>11</xdr:row>
          <xdr:rowOff>203200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0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Graphite/thermoplastic (AS4/PEEK)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101600</xdr:colOff>
          <xdr:row>1</xdr:row>
          <xdr:rowOff>38100</xdr:rowOff>
        </xdr:from>
        <xdr:to>
          <xdr:col>7</xdr:col>
          <xdr:colOff>355600</xdr:colOff>
          <xdr:row>3</xdr:row>
          <xdr:rowOff>127000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1- Set number of layers (N) and angle (θ) of each ply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152400</xdr:colOff>
          <xdr:row>1</xdr:row>
          <xdr:rowOff>50800</xdr:rowOff>
        </xdr:from>
        <xdr:to>
          <xdr:col>17</xdr:col>
          <xdr:colOff>863600</xdr:colOff>
          <xdr:row>9</xdr:row>
          <xdr:rowOff>114300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0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FF0000"/>
                  </a:solidFill>
                  <a:latin typeface="Helvetica" pitchFamily="2" charset="0"/>
                </a:rPr>
                <a:t>Reset/Clear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863600</xdr:colOff>
          <xdr:row>1</xdr:row>
          <xdr:rowOff>50800</xdr:rowOff>
        </xdr:from>
        <xdr:to>
          <xdr:col>12</xdr:col>
          <xdr:colOff>558800</xdr:colOff>
          <xdr:row>3</xdr:row>
          <xdr:rowOff>152400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0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3- Calculate Modulus and Compliance off-axis matrices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215900</xdr:colOff>
          <xdr:row>4</xdr:row>
          <xdr:rowOff>63500</xdr:rowOff>
        </xdr:from>
        <xdr:to>
          <xdr:col>22</xdr:col>
          <xdr:colOff>546100</xdr:colOff>
          <xdr:row>6</xdr:row>
          <xdr:rowOff>139700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0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4- Set off-axis stress (GPa)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520700</xdr:colOff>
          <xdr:row>1</xdr:row>
          <xdr:rowOff>38100</xdr:rowOff>
        </xdr:from>
        <xdr:to>
          <xdr:col>9</xdr:col>
          <xdr:colOff>660400</xdr:colOff>
          <xdr:row>3</xdr:row>
          <xdr:rowOff>139700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0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2- Calculate m and n angle components (Rad)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228600</xdr:colOff>
          <xdr:row>7</xdr:row>
          <xdr:rowOff>38100</xdr:rowOff>
        </xdr:from>
        <xdr:to>
          <xdr:col>22</xdr:col>
          <xdr:colOff>571500</xdr:colOff>
          <xdr:row>9</xdr:row>
          <xdr:rowOff>101600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0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5- On-axis and-Off axis matrices of stress and strain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762000</xdr:colOff>
          <xdr:row>1</xdr:row>
          <xdr:rowOff>50800</xdr:rowOff>
        </xdr:from>
        <xdr:to>
          <xdr:col>14</xdr:col>
          <xdr:colOff>850900</xdr:colOff>
          <xdr:row>3</xdr:row>
          <xdr:rowOff>139700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0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4- Calculate [A] and [a] Matrices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228600</xdr:colOff>
          <xdr:row>4</xdr:row>
          <xdr:rowOff>50800</xdr:rowOff>
        </xdr:from>
        <xdr:to>
          <xdr:col>26</xdr:col>
          <xdr:colOff>584200</xdr:colOff>
          <xdr:row>6</xdr:row>
          <xdr:rowOff>127000</xdr:rowOff>
        </xdr:to>
        <xdr:sp macro="" textlink="">
          <xdr:nvSpPr>
            <xdr:cNvPr id="4122" name="Button 26" hidden="1">
              <a:extLst>
                <a:ext uri="{63B3BB69-23CF-44E3-9099-C40C66FF867C}">
                  <a14:compatExt spid="_x0000_s4122"/>
                </a:ext>
                <a:ext uri="{FF2B5EF4-FFF2-40B4-BE49-F238E27FC236}">
                  <a16:creationId xmlns:a16="http://schemas.microsoft.com/office/drawing/2014/main" id="{00000000-0008-0000-0000-00001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6- Calculate off-axis strain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774700</xdr:colOff>
          <xdr:row>6</xdr:row>
          <xdr:rowOff>203200</xdr:rowOff>
        </xdr:from>
        <xdr:to>
          <xdr:col>15</xdr:col>
          <xdr:colOff>0</xdr:colOff>
          <xdr:row>9</xdr:row>
          <xdr:rowOff>63500</xdr:rowOff>
        </xdr:to>
        <xdr:sp macro="" textlink="">
          <xdr:nvSpPr>
            <xdr:cNvPr id="4124" name="Button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0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6- Calculate [D] and [d] matrices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177800</xdr:colOff>
          <xdr:row>45</xdr:row>
          <xdr:rowOff>25400</xdr:rowOff>
        </xdr:from>
        <xdr:to>
          <xdr:col>14</xdr:col>
          <xdr:colOff>266700</xdr:colOff>
          <xdr:row>47</xdr:row>
          <xdr:rowOff>139700</xdr:rowOff>
        </xdr:to>
        <xdr:sp macro="" textlink="">
          <xdr:nvSpPr>
            <xdr:cNvPr id="4127" name="Button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0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8- Calculate off-axis strain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1016000</xdr:colOff>
          <xdr:row>100</xdr:row>
          <xdr:rowOff>101600</xdr:rowOff>
        </xdr:from>
        <xdr:to>
          <xdr:col>11</xdr:col>
          <xdr:colOff>12700</xdr:colOff>
          <xdr:row>102</xdr:row>
          <xdr:rowOff>63500</xdr:rowOff>
        </xdr:to>
        <xdr:sp macro="" textlink="">
          <xdr:nvSpPr>
            <xdr:cNvPr id="4129" name="Button 33" hidden="1">
              <a:extLst>
                <a:ext uri="{63B3BB69-23CF-44E3-9099-C40C66FF867C}">
                  <a14:compatExt spid="_x0000_s4129"/>
                </a:ext>
                <a:ext uri="{FF2B5EF4-FFF2-40B4-BE49-F238E27FC236}">
                  <a16:creationId xmlns:a16="http://schemas.microsoft.com/office/drawing/2014/main" id="{00000000-0008-0000-0000-00002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Max criterion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25400</xdr:colOff>
          <xdr:row>100</xdr:row>
          <xdr:rowOff>88900</xdr:rowOff>
        </xdr:from>
        <xdr:to>
          <xdr:col>16</xdr:col>
          <xdr:colOff>241300</xdr:colOff>
          <xdr:row>102</xdr:row>
          <xdr:rowOff>50800</xdr:rowOff>
        </xdr:to>
        <xdr:sp macro="" textlink="">
          <xdr:nvSpPr>
            <xdr:cNvPr id="4130" name="Button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0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Tsai Wu Criterion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12700</xdr:colOff>
          <xdr:row>100</xdr:row>
          <xdr:rowOff>63500</xdr:rowOff>
        </xdr:from>
        <xdr:to>
          <xdr:col>18</xdr:col>
          <xdr:colOff>292100</xdr:colOff>
          <xdr:row>102</xdr:row>
          <xdr:rowOff>25400</xdr:rowOff>
        </xdr:to>
        <xdr:sp macro="" textlink="">
          <xdr:nvSpPr>
            <xdr:cNvPr id="4132" name="Button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0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Hashin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Bureau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Bureau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Bureau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18" Type="http://schemas.openxmlformats.org/officeDocument/2006/relationships/ctrlProp" Target="../ctrlProps/ctrlProp1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17" Type="http://schemas.openxmlformats.org/officeDocument/2006/relationships/ctrlProp" Target="../ctrlProps/ctrlProp15.xml"/><Relationship Id="rId2" Type="http://schemas.openxmlformats.org/officeDocument/2006/relationships/vmlDrawing" Target="../drawings/vmlDrawing1.vml"/><Relationship Id="rId16" Type="http://schemas.openxmlformats.org/officeDocument/2006/relationships/ctrlProp" Target="../ctrlProps/ctrlProp14.xml"/><Relationship Id="rId20" Type="http://schemas.openxmlformats.org/officeDocument/2006/relationships/ctrlProp" Target="../ctrlProps/ctrlProp18.x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5" Type="http://schemas.openxmlformats.org/officeDocument/2006/relationships/ctrlProp" Target="../ctrlProps/ctrlProp13.xml"/><Relationship Id="rId10" Type="http://schemas.openxmlformats.org/officeDocument/2006/relationships/ctrlProp" Target="../ctrlProps/ctrlProp8.xml"/><Relationship Id="rId19" Type="http://schemas.openxmlformats.org/officeDocument/2006/relationships/ctrlProp" Target="../ctrlProps/ctrlProp17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le1">
    <pageSetUpPr fitToPage="1"/>
  </sheetPr>
  <dimension ref="A1:AR1812"/>
  <sheetViews>
    <sheetView showGridLines="0" tabSelected="1" zoomScaleNormal="80" zoomScalePageLayoutView="80" workbookViewId="0"/>
  </sheetViews>
  <sheetFormatPr baseColWidth="10" defaultRowHeight="16"/>
  <cols>
    <col min="3" max="3" width="15.5" style="40" bestFit="1" customWidth="1"/>
    <col min="4" max="4" width="16.1640625" style="40" customWidth="1"/>
    <col min="5" max="5" width="13.5" customWidth="1"/>
    <col min="6" max="6" width="17.1640625" style="51" customWidth="1"/>
    <col min="7" max="7" width="10.83203125" customWidth="1"/>
    <col min="8" max="8" width="12.6640625" bestFit="1" customWidth="1"/>
    <col min="9" max="9" width="13.33203125" bestFit="1" customWidth="1"/>
    <col min="10" max="11" width="13.6640625" bestFit="1" customWidth="1"/>
    <col min="12" max="12" width="12.6640625" bestFit="1" customWidth="1"/>
    <col min="13" max="13" width="13.5" bestFit="1" customWidth="1"/>
    <col min="14" max="14" width="16.33203125" customWidth="1"/>
    <col min="15" max="15" width="11.33203125" bestFit="1" customWidth="1"/>
    <col min="16" max="16" width="12" bestFit="1" customWidth="1"/>
    <col min="17" max="17" width="12.6640625" bestFit="1" customWidth="1"/>
    <col min="18" max="18" width="11.5" bestFit="1" customWidth="1"/>
    <col min="19" max="19" width="15.33203125" customWidth="1"/>
  </cols>
  <sheetData>
    <row r="1" spans="1:27" ht="19">
      <c r="A1" s="2" t="s">
        <v>25</v>
      </c>
      <c r="B1" s="2"/>
      <c r="C1" s="39" t="s">
        <v>27</v>
      </c>
      <c r="D1" s="40" t="s">
        <v>2</v>
      </c>
      <c r="F1" s="50" t="s">
        <v>41</v>
      </c>
    </row>
    <row r="2" spans="1:27" ht="17" thickBot="1">
      <c r="C2" s="15" t="s">
        <v>24</v>
      </c>
      <c r="D2" s="15">
        <v>38.6</v>
      </c>
      <c r="E2" s="15" t="s">
        <v>19</v>
      </c>
    </row>
    <row r="3" spans="1:27">
      <c r="C3" s="15" t="s">
        <v>9</v>
      </c>
      <c r="D3" s="15">
        <v>8.27</v>
      </c>
      <c r="E3" s="15" t="s">
        <v>19</v>
      </c>
      <c r="U3" s="76"/>
      <c r="V3" s="77" t="s">
        <v>99</v>
      </c>
      <c r="W3" s="78"/>
      <c r="Y3" s="76"/>
      <c r="Z3" s="77" t="s">
        <v>98</v>
      </c>
      <c r="AA3" s="78"/>
    </row>
    <row r="4" spans="1:27" ht="17" thickBot="1">
      <c r="C4" s="15" t="s">
        <v>10</v>
      </c>
      <c r="D4" s="15">
        <v>2.2999999999999998</v>
      </c>
      <c r="E4" s="15" t="s">
        <v>19</v>
      </c>
      <c r="U4" s="79"/>
      <c r="V4" s="19"/>
      <c r="W4" s="80"/>
      <c r="Y4" s="79"/>
      <c r="Z4" s="19"/>
      <c r="AA4" s="80"/>
    </row>
    <row r="5" spans="1:27" ht="17" thickBot="1">
      <c r="C5" s="15" t="s">
        <v>11</v>
      </c>
      <c r="D5" s="15">
        <v>0.34</v>
      </c>
      <c r="E5" s="15" t="s">
        <v>20</v>
      </c>
      <c r="F5" s="52" t="s">
        <v>26</v>
      </c>
      <c r="G5" s="25"/>
      <c r="H5" s="5" t="s">
        <v>20</v>
      </c>
      <c r="U5" s="79"/>
      <c r="V5" s="19"/>
      <c r="W5" s="80"/>
      <c r="Y5" s="79"/>
      <c r="Z5" s="19"/>
      <c r="AA5" s="80"/>
    </row>
    <row r="6" spans="1:27" ht="17" thickBot="1">
      <c r="C6" s="15" t="s">
        <v>12</v>
      </c>
      <c r="D6" s="15">
        <v>1400</v>
      </c>
      <c r="E6" s="15" t="s">
        <v>21</v>
      </c>
      <c r="F6" s="53"/>
      <c r="G6" s="3"/>
      <c r="H6" s="3"/>
      <c r="U6" s="79"/>
      <c r="V6" s="19"/>
      <c r="W6" s="80"/>
      <c r="Y6" s="79"/>
      <c r="Z6" s="19"/>
      <c r="AA6" s="80"/>
    </row>
    <row r="7" spans="1:27" ht="17" thickBot="1">
      <c r="C7" s="15" t="s">
        <v>13</v>
      </c>
      <c r="D7" s="15">
        <v>235</v>
      </c>
      <c r="E7" s="15" t="s">
        <v>21</v>
      </c>
      <c r="F7" s="52" t="s">
        <v>53</v>
      </c>
      <c r="G7" s="100"/>
      <c r="H7" s="5" t="s">
        <v>33</v>
      </c>
      <c r="U7" s="79"/>
      <c r="V7" s="19"/>
      <c r="W7" s="80"/>
      <c r="Y7" s="79"/>
      <c r="Z7" s="19"/>
      <c r="AA7" s="80"/>
    </row>
    <row r="8" spans="1:27" ht="17" thickBot="1">
      <c r="C8" s="15" t="s">
        <v>14</v>
      </c>
      <c r="D8" s="15">
        <v>12</v>
      </c>
      <c r="E8" s="16" t="s">
        <v>21</v>
      </c>
      <c r="U8" s="79"/>
      <c r="V8" s="19"/>
      <c r="W8" s="80"/>
      <c r="Y8" s="79"/>
      <c r="Z8" s="19"/>
      <c r="AA8" s="80"/>
    </row>
    <row r="9" spans="1:27" ht="17" thickBot="1">
      <c r="C9" s="15" t="s">
        <v>15</v>
      </c>
      <c r="D9" s="15">
        <v>53</v>
      </c>
      <c r="E9" s="16" t="s">
        <v>21</v>
      </c>
      <c r="F9" s="73" t="s">
        <v>33</v>
      </c>
      <c r="G9" s="44">
        <f>(1-D5*D12)^-1</f>
        <v>1.0253961402814176</v>
      </c>
      <c r="H9" s="26" t="s">
        <v>20</v>
      </c>
      <c r="I9" s="17"/>
      <c r="K9" s="17"/>
      <c r="L9" s="17"/>
      <c r="M9" s="17"/>
      <c r="O9" s="17"/>
      <c r="P9" s="17"/>
      <c r="Q9" s="17"/>
      <c r="U9" s="79"/>
      <c r="V9" s="19"/>
      <c r="W9" s="80"/>
      <c r="Y9" s="79"/>
      <c r="Z9" s="19"/>
      <c r="AA9" s="80"/>
    </row>
    <row r="10" spans="1:27" ht="17" thickBot="1">
      <c r="C10" s="15" t="s">
        <v>16</v>
      </c>
      <c r="D10" s="15">
        <v>34</v>
      </c>
      <c r="E10" s="16" t="s">
        <v>21</v>
      </c>
      <c r="F10" s="54"/>
      <c r="G10" s="21"/>
      <c r="H10" s="17"/>
      <c r="I10" s="17"/>
      <c r="K10" s="17"/>
      <c r="L10" s="17"/>
      <c r="M10" s="17"/>
      <c r="O10" s="17"/>
      <c r="P10" s="17"/>
      <c r="Q10" s="17"/>
      <c r="U10" s="81"/>
      <c r="V10" s="82"/>
      <c r="W10" s="83"/>
      <c r="Y10" s="81"/>
      <c r="Z10" s="82"/>
      <c r="AA10" s="83"/>
    </row>
    <row r="11" spans="1:27" ht="17" thickBot="1">
      <c r="C11" s="15" t="s">
        <v>42</v>
      </c>
      <c r="D11" s="15">
        <v>0.125</v>
      </c>
      <c r="E11" s="16" t="s">
        <v>23</v>
      </c>
      <c r="F11" s="74" t="s">
        <v>86</v>
      </c>
      <c r="G11" s="25">
        <f>D11*G5/1000</f>
        <v>0</v>
      </c>
      <c r="H11" s="75" t="s">
        <v>33</v>
      </c>
      <c r="I11" s="17"/>
      <c r="J11" s="74" t="s">
        <v>87</v>
      </c>
      <c r="K11" s="25">
        <f>G11+2*G7</f>
        <v>0</v>
      </c>
      <c r="L11" s="75" t="s">
        <v>33</v>
      </c>
      <c r="O11" s="17"/>
      <c r="P11" s="17"/>
      <c r="Q11" s="17"/>
    </row>
    <row r="12" spans="1:27" ht="17" thickBot="1">
      <c r="C12" s="24" t="s">
        <v>40</v>
      </c>
      <c r="D12" s="23">
        <f>D5*D3/D2</f>
        <v>7.2844559585492227E-2</v>
      </c>
      <c r="E12" s="22" t="s">
        <v>20</v>
      </c>
      <c r="F12" s="84" t="s">
        <v>59</v>
      </c>
      <c r="G12" s="87" t="e">
        <f>(K11^3/12)*(1-(G7/(K11/2))^3)</f>
        <v>#DIV/0!</v>
      </c>
      <c r="H12" s="85" t="s">
        <v>33</v>
      </c>
      <c r="I12" s="20"/>
      <c r="O12" s="18"/>
      <c r="P12" s="17"/>
      <c r="Q12" s="17"/>
    </row>
    <row r="13" spans="1:27">
      <c r="O13" s="19"/>
      <c r="P13" s="19"/>
      <c r="Q13" s="19"/>
    </row>
    <row r="14" spans="1:27" hidden="1">
      <c r="A14" s="262" t="s">
        <v>29</v>
      </c>
      <c r="B14" s="262"/>
      <c r="E14" s="1" t="s">
        <v>31</v>
      </c>
    </row>
    <row r="15" spans="1:27" hidden="1">
      <c r="A15" s="4" t="s">
        <v>28</v>
      </c>
      <c r="B15" s="4" t="s">
        <v>30</v>
      </c>
      <c r="E15" s="1" t="s">
        <v>31</v>
      </c>
    </row>
    <row r="16" spans="1:27" ht="17" thickBot="1">
      <c r="A16" s="37" t="s">
        <v>28</v>
      </c>
      <c r="B16" s="37" t="s">
        <v>32</v>
      </c>
      <c r="C16" s="41" t="s">
        <v>33</v>
      </c>
      <c r="D16" s="41" t="s">
        <v>43</v>
      </c>
      <c r="E16" s="45" t="s">
        <v>113</v>
      </c>
      <c r="I16" s="38"/>
      <c r="K16" s="3"/>
    </row>
    <row r="17" spans="1:39">
      <c r="A17" s="4"/>
      <c r="B17" s="4"/>
      <c r="C17" s="42"/>
      <c r="D17" s="42"/>
      <c r="E17" s="6" t="s">
        <v>36</v>
      </c>
      <c r="F17" s="55" t="s">
        <v>34</v>
      </c>
      <c r="G17" s="7" t="s">
        <v>35</v>
      </c>
      <c r="H17" s="8" t="s">
        <v>45</v>
      </c>
      <c r="I17" s="3"/>
      <c r="J17" s="3"/>
      <c r="K17" s="3"/>
    </row>
    <row r="18" spans="1:39">
      <c r="A18" s="4"/>
      <c r="B18" s="4"/>
      <c r="C18" s="42"/>
      <c r="D18" s="42"/>
      <c r="E18" s="9" t="s">
        <v>38</v>
      </c>
      <c r="F18" s="33">
        <f>1/(D2)</f>
        <v>2.5906735751295335E-2</v>
      </c>
      <c r="G18" s="28">
        <f>-D12/(D3)</f>
        <v>-8.8082901554404156E-3</v>
      </c>
      <c r="H18" s="30" t="s">
        <v>20</v>
      </c>
      <c r="I18" s="62"/>
      <c r="J18" s="3"/>
      <c r="K18" s="67"/>
    </row>
    <row r="19" spans="1:39">
      <c r="A19" s="4"/>
      <c r="B19" s="4"/>
      <c r="C19" s="42"/>
      <c r="D19" s="42"/>
      <c r="E19" s="9" t="s">
        <v>39</v>
      </c>
      <c r="F19" s="33">
        <f>-D5/(D2)</f>
        <v>-8.8082901554404156E-3</v>
      </c>
      <c r="G19" s="28">
        <f>1/(D3)</f>
        <v>0.12091898428053205</v>
      </c>
      <c r="H19" s="30" t="s">
        <v>20</v>
      </c>
      <c r="I19" s="3"/>
      <c r="J19" s="48"/>
      <c r="K19" s="3"/>
    </row>
    <row r="20" spans="1:39" ht="17" thickBot="1">
      <c r="A20" s="4"/>
      <c r="B20" s="4"/>
      <c r="C20" s="42"/>
      <c r="D20" s="42"/>
      <c r="E20" s="10" t="s">
        <v>44</v>
      </c>
      <c r="F20" s="35" t="s">
        <v>20</v>
      </c>
      <c r="G20" s="31" t="s">
        <v>20</v>
      </c>
      <c r="H20" s="32">
        <f>1/(D4)</f>
        <v>0.43478260869565222</v>
      </c>
    </row>
    <row r="21" spans="1:39" ht="17" thickBot="1">
      <c r="A21" s="4"/>
      <c r="B21" s="4"/>
      <c r="C21" s="42"/>
      <c r="D21" s="42"/>
      <c r="E21" s="38" t="s">
        <v>114</v>
      </c>
    </row>
    <row r="22" spans="1:39">
      <c r="A22" s="4"/>
      <c r="B22" s="4"/>
      <c r="C22" s="42"/>
      <c r="D22" s="42"/>
      <c r="E22" s="6" t="s">
        <v>37</v>
      </c>
      <c r="F22" s="56" t="s">
        <v>38</v>
      </c>
      <c r="G22" s="11" t="s">
        <v>39</v>
      </c>
      <c r="H22" s="12" t="s">
        <v>44</v>
      </c>
    </row>
    <row r="23" spans="1:39">
      <c r="A23" s="4"/>
      <c r="B23" s="4"/>
      <c r="C23" s="42"/>
      <c r="D23" s="42"/>
      <c r="E23" s="13" t="s">
        <v>34</v>
      </c>
      <c r="F23" s="33">
        <f>G9*D2</f>
        <v>39.580291014862716</v>
      </c>
      <c r="G23" s="33">
        <f>G9*D12*D2</f>
        <v>2.8832088672432903</v>
      </c>
      <c r="H23" s="34" t="s">
        <v>20</v>
      </c>
    </row>
    <row r="24" spans="1:39">
      <c r="A24" s="4"/>
      <c r="B24" s="4"/>
      <c r="C24" s="42"/>
      <c r="D24" s="42"/>
      <c r="E24" s="13" t="s">
        <v>35</v>
      </c>
      <c r="F24" s="33">
        <f>G9*D5*D3</f>
        <v>2.8832088672432903</v>
      </c>
      <c r="G24" s="33">
        <f>G9*D3</f>
        <v>8.4800260801273222</v>
      </c>
      <c r="H24" s="34" t="s">
        <v>20</v>
      </c>
    </row>
    <row r="25" spans="1:39" ht="17" thickBot="1">
      <c r="A25" s="4"/>
      <c r="B25" s="4"/>
      <c r="C25" s="42"/>
      <c r="D25" s="42"/>
      <c r="E25" s="14" t="s">
        <v>45</v>
      </c>
      <c r="F25" s="35" t="s">
        <v>20</v>
      </c>
      <c r="G25" s="35" t="s">
        <v>20</v>
      </c>
      <c r="H25" s="36">
        <f>D4</f>
        <v>2.2999999999999998</v>
      </c>
    </row>
    <row r="26" spans="1:39">
      <c r="A26" s="3"/>
      <c r="B26" s="3"/>
      <c r="C26" s="42"/>
      <c r="D26" s="42"/>
    </row>
    <row r="27" spans="1:39">
      <c r="A27" s="3"/>
      <c r="B27" s="3"/>
      <c r="C27" s="42"/>
      <c r="D27" s="42"/>
      <c r="E27" s="46"/>
      <c r="F27" s="5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</row>
    <row r="28" spans="1:39">
      <c r="A28" s="3"/>
      <c r="B28" s="3"/>
      <c r="C28" s="42"/>
      <c r="D28" s="42"/>
      <c r="E28" s="27"/>
      <c r="F28" s="33"/>
      <c r="G28" s="27"/>
      <c r="H28" s="27"/>
      <c r="I28" s="27"/>
      <c r="J28" s="27"/>
      <c r="K28" s="27"/>
      <c r="L28" s="27"/>
      <c r="M28" s="27"/>
      <c r="N28" s="27"/>
      <c r="O28" s="27"/>
      <c r="P28" s="27"/>
      <c r="Q28" s="27"/>
      <c r="R28" s="27"/>
      <c r="S28" s="27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</row>
    <row r="29" spans="1:39">
      <c r="A29" s="3"/>
      <c r="B29" s="3"/>
      <c r="C29" s="42"/>
      <c r="D29" s="42"/>
      <c r="E29" s="47"/>
      <c r="F29" s="28"/>
      <c r="G29" s="28"/>
      <c r="H29" s="28"/>
      <c r="I29" s="28"/>
      <c r="J29" s="28"/>
      <c r="K29" s="28"/>
      <c r="L29" s="28"/>
      <c r="M29" s="28"/>
      <c r="N29" s="28"/>
      <c r="O29" s="28"/>
      <c r="P29" s="28"/>
      <c r="Q29" s="28"/>
      <c r="R29" s="28"/>
      <c r="S29" s="28"/>
      <c r="T29" s="29"/>
      <c r="U29" s="29"/>
      <c r="V29" s="29"/>
      <c r="W29" s="29"/>
      <c r="X29" s="29"/>
      <c r="Y29" s="29"/>
      <c r="Z29" s="29"/>
      <c r="AA29" s="29"/>
      <c r="AB29" s="29"/>
      <c r="AC29" s="29"/>
      <c r="AD29" s="29"/>
      <c r="AE29" s="29"/>
      <c r="AF29" s="29"/>
      <c r="AG29" s="29"/>
      <c r="AH29" s="29"/>
      <c r="AI29" s="29"/>
      <c r="AJ29" s="29"/>
      <c r="AK29" s="29"/>
      <c r="AL29" s="29"/>
      <c r="AM29" s="29"/>
    </row>
    <row r="30" spans="1:39">
      <c r="A30" s="3"/>
      <c r="B30" s="3"/>
      <c r="C30" s="42"/>
      <c r="D30" s="42"/>
      <c r="E30" s="58"/>
      <c r="F30" s="28"/>
      <c r="G30" s="28"/>
      <c r="H30" s="28"/>
      <c r="I30" s="28"/>
      <c r="J30" s="28"/>
      <c r="K30" s="28"/>
      <c r="L30" s="28"/>
      <c r="M30" s="28"/>
      <c r="N30" s="28"/>
      <c r="O30" s="28"/>
      <c r="P30" s="28"/>
      <c r="Q30" s="28"/>
      <c r="R30" s="28"/>
      <c r="S30" s="28"/>
      <c r="T30" s="29"/>
      <c r="U30" s="29"/>
      <c r="V30" s="29"/>
      <c r="W30" s="29"/>
      <c r="X30" s="29"/>
      <c r="Y30" s="29"/>
      <c r="Z30" s="29"/>
      <c r="AA30" s="29"/>
      <c r="AB30" s="29"/>
      <c r="AC30" s="29"/>
      <c r="AD30" s="29"/>
      <c r="AE30" s="29"/>
      <c r="AF30" s="29"/>
      <c r="AG30" s="29"/>
      <c r="AH30" s="29"/>
      <c r="AI30" s="29"/>
      <c r="AJ30" s="29"/>
      <c r="AK30" s="29"/>
      <c r="AL30" s="29"/>
      <c r="AM30" s="29"/>
    </row>
    <row r="31" spans="1:39">
      <c r="A31" s="3"/>
      <c r="B31" s="3"/>
      <c r="C31" s="42"/>
      <c r="D31" s="42"/>
      <c r="E31" s="59"/>
      <c r="F31" s="28"/>
      <c r="G31" s="28"/>
      <c r="H31" s="28"/>
      <c r="I31" s="28"/>
      <c r="J31" s="28"/>
      <c r="K31" s="28"/>
      <c r="L31" s="28"/>
      <c r="M31" s="28"/>
      <c r="N31" s="28"/>
      <c r="O31" s="28"/>
      <c r="P31" s="28"/>
      <c r="Q31" s="28"/>
      <c r="R31" s="28"/>
      <c r="S31" s="28"/>
      <c r="T31" s="29"/>
      <c r="U31" s="29"/>
      <c r="V31" s="29"/>
      <c r="W31" s="29"/>
      <c r="X31" s="29"/>
      <c r="Y31" s="29"/>
      <c r="Z31" s="29"/>
      <c r="AA31" s="29"/>
      <c r="AB31" s="29"/>
      <c r="AC31" s="29"/>
      <c r="AD31" s="29"/>
      <c r="AE31" s="29"/>
      <c r="AF31" s="29"/>
      <c r="AG31" s="29"/>
      <c r="AH31" s="29"/>
      <c r="AI31" s="29"/>
      <c r="AJ31" s="29"/>
      <c r="AK31" s="29"/>
      <c r="AL31" s="29"/>
      <c r="AM31" s="29"/>
    </row>
    <row r="32" spans="1:39">
      <c r="A32" s="3"/>
      <c r="B32" s="3"/>
      <c r="C32" s="42"/>
      <c r="D32" s="3"/>
      <c r="E32" s="3"/>
      <c r="F32" s="42"/>
      <c r="G32" s="3"/>
      <c r="H32" s="3"/>
      <c r="I32" s="42"/>
      <c r="J32" s="3"/>
      <c r="K32" s="3"/>
      <c r="L32" s="42"/>
      <c r="M32" s="3"/>
      <c r="N32" s="3"/>
      <c r="O32" s="42"/>
      <c r="P32" s="3"/>
      <c r="Q32" s="3"/>
      <c r="R32" s="42"/>
      <c r="S32" s="3"/>
      <c r="T32" s="3"/>
      <c r="U32" s="42"/>
      <c r="V32" s="3"/>
      <c r="W32" s="3"/>
      <c r="X32" s="42"/>
      <c r="Y32" s="3"/>
      <c r="Z32" s="3"/>
      <c r="AA32" s="42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</row>
    <row r="33" spans="1:44">
      <c r="A33" s="3"/>
      <c r="B33" s="3"/>
      <c r="C33" s="42"/>
      <c r="D33" s="42"/>
      <c r="E33" s="3"/>
      <c r="F33" s="5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</row>
    <row r="34" spans="1:44">
      <c r="A34" s="3"/>
      <c r="B34" s="3"/>
      <c r="C34" s="42"/>
      <c r="D34" s="42"/>
      <c r="E34" s="46"/>
      <c r="F34" s="5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</row>
    <row r="35" spans="1:44">
      <c r="A35" s="3"/>
      <c r="B35" s="3"/>
      <c r="C35" s="42"/>
      <c r="D35" s="42"/>
      <c r="E35" s="3"/>
      <c r="F35" s="5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</row>
    <row r="36" spans="1:44">
      <c r="A36" s="3"/>
      <c r="B36" s="3"/>
      <c r="C36" s="42"/>
      <c r="D36" s="42"/>
      <c r="E36" s="29"/>
      <c r="F36" s="29"/>
      <c r="G36" s="29"/>
      <c r="H36" s="29"/>
      <c r="I36" s="29"/>
      <c r="J36" s="29"/>
      <c r="K36" s="29"/>
      <c r="L36" s="29"/>
      <c r="M36" s="29"/>
      <c r="N36" s="29"/>
      <c r="O36" s="29"/>
      <c r="P36" s="29"/>
      <c r="Q36" s="29"/>
      <c r="R36" s="29"/>
      <c r="S36" s="29"/>
      <c r="T36" s="29"/>
      <c r="U36" s="29"/>
      <c r="V36" s="29"/>
      <c r="W36" s="29"/>
      <c r="X36" s="29"/>
      <c r="Y36" s="29"/>
      <c r="Z36" s="29"/>
      <c r="AA36" s="29"/>
      <c r="AB36" s="29"/>
      <c r="AC36" s="29"/>
      <c r="AD36" s="29"/>
      <c r="AE36" s="29"/>
      <c r="AF36" s="29"/>
      <c r="AG36" s="29"/>
      <c r="AH36" s="29"/>
      <c r="AI36" s="29"/>
      <c r="AJ36" s="29"/>
      <c r="AK36" s="29"/>
      <c r="AL36" s="29"/>
      <c r="AM36" s="29"/>
      <c r="AN36" s="29"/>
      <c r="AO36" s="29"/>
      <c r="AP36" s="29"/>
      <c r="AQ36" s="29"/>
      <c r="AR36" s="29"/>
    </row>
    <row r="37" spans="1:44">
      <c r="A37" s="3"/>
      <c r="B37" s="3"/>
      <c r="C37" s="42"/>
      <c r="D37" s="42"/>
      <c r="E37" s="29"/>
      <c r="F37" s="29"/>
      <c r="G37" s="29"/>
      <c r="H37" s="29"/>
      <c r="I37" s="29"/>
      <c r="J37" s="29"/>
      <c r="K37" s="29"/>
      <c r="L37" s="29"/>
      <c r="M37" s="29"/>
      <c r="N37" s="29"/>
      <c r="O37" s="29"/>
      <c r="P37" s="29"/>
      <c r="Q37" s="29"/>
      <c r="R37" s="29"/>
      <c r="S37" s="29"/>
      <c r="T37" s="29"/>
      <c r="U37" s="29"/>
      <c r="V37" s="29"/>
      <c r="W37" s="29"/>
      <c r="X37" s="29"/>
      <c r="Y37" s="29"/>
      <c r="Z37" s="29"/>
      <c r="AA37" s="29"/>
      <c r="AB37" s="29"/>
      <c r="AC37" s="29"/>
      <c r="AD37" s="29"/>
      <c r="AE37" s="29"/>
      <c r="AF37" s="29"/>
      <c r="AG37" s="29"/>
      <c r="AH37" s="29"/>
      <c r="AI37" s="29"/>
      <c r="AJ37" s="29"/>
      <c r="AK37" s="29"/>
      <c r="AL37" s="29"/>
      <c r="AM37" s="29"/>
      <c r="AN37" s="29"/>
      <c r="AO37" s="29"/>
      <c r="AP37" s="29"/>
      <c r="AQ37" s="29"/>
      <c r="AR37" s="29"/>
    </row>
    <row r="38" spans="1:44">
      <c r="A38" s="3"/>
      <c r="B38" s="3"/>
      <c r="C38" s="42"/>
      <c r="D38" s="43"/>
      <c r="E38" s="28"/>
      <c r="F38" s="28"/>
      <c r="G38" s="29"/>
      <c r="H38" s="29"/>
      <c r="I38" s="29"/>
      <c r="J38" s="29"/>
      <c r="K38" s="29"/>
      <c r="L38" s="29"/>
      <c r="M38" s="29"/>
      <c r="N38" s="29"/>
      <c r="O38" s="29"/>
      <c r="P38" s="29"/>
      <c r="Q38" s="29"/>
      <c r="R38" s="29"/>
      <c r="S38" s="29"/>
      <c r="T38" s="29"/>
      <c r="U38" s="29"/>
      <c r="V38" s="29"/>
      <c r="W38" s="29"/>
      <c r="X38" s="29"/>
      <c r="Y38" s="29"/>
      <c r="Z38" s="29"/>
      <c r="AA38" s="29"/>
      <c r="AB38" s="29"/>
      <c r="AC38" s="29"/>
      <c r="AD38" s="29"/>
      <c r="AE38" s="29"/>
      <c r="AF38" s="29"/>
      <c r="AG38" s="29"/>
      <c r="AH38" s="29"/>
      <c r="AI38" s="29"/>
      <c r="AJ38" s="29"/>
      <c r="AK38" s="29"/>
      <c r="AL38" s="29"/>
      <c r="AM38" s="29"/>
      <c r="AN38" s="29"/>
      <c r="AO38" s="29"/>
      <c r="AP38" s="29"/>
      <c r="AQ38" s="29"/>
      <c r="AR38" s="29"/>
    </row>
    <row r="39" spans="1:44">
      <c r="A39" s="3"/>
      <c r="B39" s="3"/>
      <c r="C39" s="42"/>
      <c r="D39" s="43"/>
      <c r="E39" s="19"/>
      <c r="F39" s="57"/>
    </row>
    <row r="40" spans="1:44">
      <c r="A40" s="3"/>
      <c r="B40" s="3"/>
      <c r="C40" s="42"/>
      <c r="D40" s="42"/>
    </row>
    <row r="41" spans="1:44">
      <c r="A41" s="3"/>
      <c r="B41" s="3"/>
      <c r="C41" s="42"/>
      <c r="D41" s="42"/>
      <c r="E41" s="65"/>
      <c r="F41" s="42"/>
      <c r="G41" s="40"/>
      <c r="H41" s="40"/>
      <c r="I41" s="64"/>
      <c r="J41" s="40"/>
      <c r="K41" s="40"/>
    </row>
    <row r="42" spans="1:44">
      <c r="A42" s="3"/>
      <c r="B42" s="3"/>
      <c r="C42" s="42"/>
      <c r="D42" s="42"/>
      <c r="E42" s="40"/>
      <c r="F42" s="66"/>
      <c r="G42" s="40"/>
      <c r="H42" s="40"/>
      <c r="I42" s="40"/>
      <c r="J42" s="66"/>
      <c r="K42" s="40"/>
    </row>
    <row r="43" spans="1:44">
      <c r="A43" s="3"/>
      <c r="B43" s="3"/>
      <c r="C43" s="42"/>
      <c r="D43" s="42"/>
      <c r="E43" s="63"/>
      <c r="F43" s="66"/>
      <c r="G43" s="40"/>
      <c r="H43" s="40"/>
      <c r="I43" s="40"/>
      <c r="J43" s="66"/>
      <c r="K43" s="40"/>
    </row>
    <row r="44" spans="1:44">
      <c r="A44" s="3"/>
      <c r="B44" s="3"/>
      <c r="C44" s="42"/>
      <c r="D44" s="42"/>
      <c r="E44" s="63"/>
      <c r="F44" s="66"/>
      <c r="G44" s="40"/>
      <c r="H44" s="40"/>
      <c r="I44" s="40"/>
      <c r="J44" s="66"/>
      <c r="K44" s="40"/>
      <c r="O44" s="98"/>
      <c r="P44" s="98"/>
      <c r="Q44" s="98"/>
    </row>
    <row r="45" spans="1:44">
      <c r="A45" s="3"/>
      <c r="B45" s="3"/>
      <c r="C45" s="42"/>
      <c r="D45" s="42"/>
      <c r="E45" s="63"/>
      <c r="F45" s="66"/>
      <c r="G45" s="40"/>
      <c r="H45" s="40"/>
      <c r="I45" s="40"/>
      <c r="J45" s="66"/>
      <c r="K45" s="40"/>
    </row>
    <row r="46" spans="1:44">
      <c r="A46" s="3"/>
      <c r="B46" s="3"/>
      <c r="C46" s="42"/>
      <c r="D46" s="42"/>
      <c r="E46" s="63"/>
      <c r="F46" s="66"/>
      <c r="G46" s="40"/>
      <c r="H46" s="40"/>
      <c r="I46" s="40"/>
      <c r="J46" s="66"/>
      <c r="K46" s="40"/>
    </row>
    <row r="47" spans="1:44">
      <c r="A47" s="3"/>
      <c r="B47" s="3"/>
      <c r="C47" s="42"/>
      <c r="D47" s="42"/>
      <c r="E47" s="60"/>
      <c r="F47" s="61"/>
    </row>
    <row r="48" spans="1:44">
      <c r="C48" s="42"/>
      <c r="D48" s="42"/>
      <c r="E48" s="49"/>
      <c r="F48" s="61"/>
    </row>
    <row r="49" spans="3:27" hidden="1">
      <c r="C49" s="42"/>
      <c r="D49" s="42"/>
      <c r="E49" s="38"/>
      <c r="F49" s="61"/>
      <c r="I49" s="38"/>
      <c r="M49" s="38"/>
      <c r="Q49" s="38"/>
    </row>
    <row r="50" spans="3:27" hidden="1">
      <c r="C50" s="42"/>
      <c r="D50" s="42"/>
      <c r="E50" s="3"/>
      <c r="F50" s="3"/>
      <c r="G50" s="3"/>
      <c r="I50" s="3"/>
      <c r="J50" s="29"/>
      <c r="K50" s="3"/>
      <c r="M50" s="3"/>
      <c r="N50" s="29"/>
      <c r="O50" s="3"/>
      <c r="Q50" s="3"/>
      <c r="R50" s="29"/>
      <c r="S50" s="3"/>
    </row>
    <row r="51" spans="3:27" hidden="1">
      <c r="C51" s="42"/>
      <c r="D51" s="42"/>
      <c r="E51" s="62"/>
      <c r="F51" s="3"/>
      <c r="G51" s="3"/>
      <c r="I51" s="62"/>
      <c r="J51" s="29"/>
      <c r="K51" s="3"/>
      <c r="M51" s="62"/>
      <c r="N51" s="29"/>
      <c r="O51" s="3"/>
      <c r="Q51" s="62"/>
      <c r="R51" s="29"/>
      <c r="S51" s="3"/>
    </row>
    <row r="52" spans="3:27" hidden="1">
      <c r="C52" s="42"/>
      <c r="D52" s="42"/>
      <c r="E52" s="3"/>
      <c r="F52" s="48"/>
      <c r="G52" s="3"/>
      <c r="I52" s="3"/>
      <c r="J52" s="29"/>
      <c r="K52" s="3"/>
      <c r="M52" s="3"/>
      <c r="N52" s="29"/>
      <c r="O52" s="3"/>
      <c r="Q52" s="3"/>
      <c r="R52" s="29"/>
      <c r="S52" s="3"/>
    </row>
    <row r="53" spans="3:27" hidden="1">
      <c r="C53" s="42"/>
      <c r="D53" s="42"/>
      <c r="E53" s="49"/>
      <c r="F53" s="61"/>
    </row>
    <row r="54" spans="3:27" hidden="1">
      <c r="C54" s="42"/>
      <c r="D54" s="42"/>
      <c r="E54" s="60"/>
      <c r="F54" s="61"/>
    </row>
    <row r="55" spans="3:27">
      <c r="C55" s="42"/>
      <c r="D55" s="42"/>
      <c r="E55" s="70"/>
      <c r="F55" s="61"/>
      <c r="I55" s="71"/>
      <c r="J55" s="72"/>
      <c r="L55" s="70"/>
      <c r="M55" s="61"/>
      <c r="P55" s="70"/>
      <c r="Q55" s="3"/>
      <c r="R55" s="3"/>
    </row>
    <row r="56" spans="3:27">
      <c r="C56" s="42"/>
      <c r="D56" s="42"/>
      <c r="E56" s="116"/>
      <c r="F56" s="117"/>
      <c r="G56" s="116"/>
      <c r="I56" s="71"/>
      <c r="J56" s="72"/>
      <c r="L56" s="116"/>
      <c r="M56" s="117"/>
      <c r="N56" s="116"/>
      <c r="P56" s="3"/>
      <c r="Q56" s="3"/>
      <c r="R56" s="3"/>
      <c r="S56" s="86"/>
    </row>
    <row r="57" spans="3:27">
      <c r="C57" s="42"/>
      <c r="D57" s="42"/>
      <c r="E57" s="116"/>
      <c r="F57" s="117"/>
      <c r="G57" s="116"/>
      <c r="I57" s="71"/>
      <c r="J57" s="72"/>
      <c r="L57" s="116"/>
      <c r="M57" s="117"/>
      <c r="N57" s="116"/>
      <c r="P57" s="3"/>
      <c r="Q57" s="3"/>
      <c r="R57" s="3"/>
    </row>
    <row r="58" spans="3:27">
      <c r="C58" s="42"/>
      <c r="D58" s="42"/>
      <c r="E58" s="116"/>
      <c r="F58" s="117"/>
      <c r="G58" s="116"/>
      <c r="I58" s="71"/>
      <c r="J58" s="72"/>
      <c r="L58" s="116"/>
      <c r="M58" s="117"/>
      <c r="N58" s="116"/>
      <c r="P58" s="3"/>
      <c r="Q58" s="3"/>
      <c r="R58" s="3"/>
    </row>
    <row r="59" spans="3:27">
      <c r="C59" s="42"/>
      <c r="D59" s="42"/>
    </row>
    <row r="60" spans="3:27">
      <c r="C60" s="42"/>
      <c r="D60" s="42"/>
    </row>
    <row r="61" spans="3:27">
      <c r="C61" s="42"/>
      <c r="D61" s="42"/>
      <c r="E61" s="70"/>
      <c r="I61" s="70"/>
      <c r="M61" s="118"/>
      <c r="N61" s="119"/>
      <c r="O61" s="98"/>
      <c r="Q61" s="70"/>
      <c r="R61" s="51"/>
      <c r="U61" s="68"/>
      <c r="Y61" s="68" t="s">
        <v>101</v>
      </c>
    </row>
    <row r="62" spans="3:27">
      <c r="C62" s="42"/>
      <c r="D62" s="42"/>
      <c r="E62" s="29"/>
      <c r="F62" s="29"/>
      <c r="G62" s="29"/>
      <c r="H62" s="3"/>
      <c r="I62" s="29"/>
      <c r="J62" s="29"/>
      <c r="K62" s="29"/>
      <c r="M62" s="116"/>
      <c r="N62" s="99"/>
      <c r="O62" s="116"/>
      <c r="Q62" s="29"/>
      <c r="R62" s="29"/>
      <c r="S62" s="29"/>
      <c r="T62" s="3"/>
      <c r="U62" s="29"/>
      <c r="V62" s="29"/>
      <c r="W62" s="29"/>
      <c r="Y62" s="29">
        <v>0</v>
      </c>
      <c r="Z62" s="29">
        <v>0</v>
      </c>
      <c r="AA62" s="29">
        <v>0</v>
      </c>
    </row>
    <row r="63" spans="3:27">
      <c r="C63" s="42"/>
      <c r="D63" s="42"/>
      <c r="E63" s="29"/>
      <c r="F63" s="29"/>
      <c r="G63" s="29"/>
      <c r="H63" s="3"/>
      <c r="I63" s="29"/>
      <c r="J63" s="29"/>
      <c r="K63" s="29"/>
      <c r="M63" s="62"/>
      <c r="N63" s="99"/>
      <c r="O63" s="116"/>
      <c r="Q63" s="29"/>
      <c r="R63" s="29"/>
      <c r="S63" s="29"/>
      <c r="T63" s="3"/>
      <c r="U63" s="29"/>
      <c r="V63" s="29"/>
      <c r="W63" s="29"/>
      <c r="Y63" s="29">
        <v>0</v>
      </c>
      <c r="Z63" s="29">
        <v>0</v>
      </c>
      <c r="AA63" s="29">
        <v>0</v>
      </c>
    </row>
    <row r="64" spans="3:27">
      <c r="C64" s="42"/>
      <c r="D64" s="42"/>
      <c r="E64" s="29"/>
      <c r="F64" s="29"/>
      <c r="G64" s="29"/>
      <c r="H64" s="3"/>
      <c r="I64" s="29"/>
      <c r="J64" s="29"/>
      <c r="K64" s="29"/>
      <c r="M64" s="116"/>
      <c r="N64" s="99"/>
      <c r="O64" s="116"/>
      <c r="Q64" s="29"/>
      <c r="R64" s="29"/>
      <c r="S64" s="29"/>
      <c r="T64" s="3"/>
      <c r="U64" s="29"/>
      <c r="V64" s="29"/>
      <c r="W64" s="29"/>
      <c r="Y64" s="29">
        <v>0</v>
      </c>
      <c r="Z64" s="29">
        <v>0</v>
      </c>
      <c r="AA64" s="29">
        <v>0</v>
      </c>
    </row>
    <row r="65" spans="3:23">
      <c r="C65" s="42"/>
      <c r="D65" s="42"/>
      <c r="E65" s="69"/>
      <c r="F65" s="69"/>
      <c r="G65" s="69"/>
    </row>
    <row r="66" spans="3:23">
      <c r="C66" s="42"/>
      <c r="D66" s="42"/>
    </row>
    <row r="67" spans="3:23">
      <c r="C67" s="42"/>
      <c r="D67" s="42"/>
      <c r="E67" s="121"/>
      <c r="F67" s="114"/>
      <c r="G67" s="115"/>
      <c r="H67" s="115"/>
      <c r="I67" s="115"/>
      <c r="J67" s="115"/>
      <c r="K67" s="115"/>
      <c r="M67" s="98"/>
      <c r="N67" s="115"/>
      <c r="O67" s="115"/>
      <c r="P67" s="115"/>
      <c r="Q67" s="115"/>
      <c r="R67" s="115"/>
      <c r="S67" s="115"/>
    </row>
    <row r="68" spans="3:23">
      <c r="C68" s="42"/>
      <c r="D68" s="42"/>
      <c r="E68" s="115"/>
      <c r="F68" s="194"/>
      <c r="G68" s="194"/>
      <c r="H68" s="194"/>
      <c r="I68" s="59"/>
      <c r="J68" s="59"/>
      <c r="K68" s="59"/>
      <c r="M68" s="114"/>
      <c r="N68" s="194"/>
      <c r="O68" s="194"/>
      <c r="P68" s="194"/>
      <c r="Q68" s="195"/>
      <c r="R68" s="195"/>
      <c r="S68" s="195"/>
      <c r="U68" s="122"/>
      <c r="V68" s="123"/>
      <c r="W68" s="3"/>
    </row>
    <row r="69" spans="3:23">
      <c r="C69" s="42"/>
      <c r="D69" s="42"/>
      <c r="E69" s="115"/>
      <c r="F69" s="194"/>
      <c r="G69" s="194"/>
      <c r="H69" s="194"/>
      <c r="I69" s="59"/>
      <c r="J69" s="59"/>
      <c r="K69" s="59"/>
      <c r="M69" s="115"/>
      <c r="N69" s="194"/>
      <c r="O69" s="194"/>
      <c r="P69" s="194"/>
      <c r="Q69" s="195"/>
      <c r="R69" s="195"/>
      <c r="S69" s="195"/>
      <c r="U69" s="124"/>
      <c r="V69" s="123"/>
      <c r="W69" s="3"/>
    </row>
    <row r="70" spans="3:23">
      <c r="C70" s="42"/>
      <c r="D70" s="42"/>
      <c r="E70" s="115"/>
      <c r="F70" s="194"/>
      <c r="G70" s="194"/>
      <c r="H70" s="194"/>
      <c r="I70" s="59"/>
      <c r="J70" s="59"/>
      <c r="K70" s="59"/>
      <c r="M70" s="115"/>
      <c r="N70" s="194"/>
      <c r="O70" s="194"/>
      <c r="P70" s="194"/>
      <c r="Q70" s="195"/>
      <c r="R70" s="195"/>
      <c r="S70" s="195"/>
      <c r="U70" s="124"/>
      <c r="V70" s="123"/>
      <c r="W70" s="3"/>
    </row>
    <row r="71" spans="3:23">
      <c r="C71" s="42"/>
      <c r="D71" s="42"/>
      <c r="E71" s="115"/>
      <c r="F71" s="59"/>
      <c r="G71" s="59"/>
      <c r="H71" s="59"/>
      <c r="I71" s="194"/>
      <c r="J71" s="194"/>
      <c r="K71" s="194"/>
      <c r="M71" s="115"/>
      <c r="N71" s="195"/>
      <c r="O71" s="195"/>
      <c r="P71" s="195"/>
      <c r="Q71" s="194"/>
      <c r="R71" s="194"/>
      <c r="S71" s="194"/>
      <c r="U71" s="124"/>
      <c r="V71" s="123"/>
      <c r="W71" s="3"/>
    </row>
    <row r="72" spans="3:23">
      <c r="C72" s="42"/>
      <c r="D72" s="42"/>
      <c r="E72" s="115"/>
      <c r="F72" s="59"/>
      <c r="G72" s="59"/>
      <c r="H72" s="59"/>
      <c r="I72" s="194"/>
      <c r="J72" s="194"/>
      <c r="K72" s="194"/>
      <c r="M72" s="115"/>
      <c r="N72" s="195"/>
      <c r="O72" s="195"/>
      <c r="P72" s="195"/>
      <c r="Q72" s="194"/>
      <c r="R72" s="194"/>
      <c r="S72" s="194"/>
      <c r="U72" s="124"/>
      <c r="V72" s="123"/>
      <c r="W72" s="3"/>
    </row>
    <row r="73" spans="3:23">
      <c r="C73" s="42"/>
      <c r="D73" s="42"/>
      <c r="E73" s="115"/>
      <c r="F73" s="59"/>
      <c r="G73" s="59"/>
      <c r="H73" s="59"/>
      <c r="I73" s="194"/>
      <c r="J73" s="194"/>
      <c r="K73" s="194"/>
      <c r="M73" s="115"/>
      <c r="N73" s="195"/>
      <c r="O73" s="195"/>
      <c r="P73" s="195"/>
      <c r="Q73" s="194"/>
      <c r="R73" s="194"/>
      <c r="S73" s="194"/>
      <c r="U73" s="124"/>
      <c r="V73" s="123"/>
      <c r="W73" s="3"/>
    </row>
    <row r="74" spans="3:23">
      <c r="C74" s="42"/>
      <c r="D74" s="42"/>
    </row>
    <row r="75" spans="3:23">
      <c r="C75" s="42"/>
      <c r="D75" s="42"/>
      <c r="K75" s="68"/>
      <c r="P75" s="68"/>
      <c r="R75" s="68"/>
      <c r="V75" s="155"/>
    </row>
    <row r="76" spans="3:23" ht="19">
      <c r="C76" s="42"/>
      <c r="D76" s="42"/>
      <c r="E76" s="294"/>
      <c r="F76" s="294"/>
      <c r="G76" s="295"/>
      <c r="H76" s="295"/>
      <c r="I76" s="295"/>
      <c r="J76" s="295"/>
      <c r="K76" s="295"/>
      <c r="L76" s="295"/>
      <c r="M76" s="295"/>
      <c r="N76" s="295"/>
      <c r="O76" s="295"/>
      <c r="P76" s="295"/>
      <c r="Q76" s="295"/>
      <c r="R76" s="295"/>
      <c r="S76" s="295"/>
      <c r="T76" s="295"/>
      <c r="U76" s="296"/>
      <c r="V76" s="155"/>
    </row>
    <row r="77" spans="3:23">
      <c r="C77" s="42"/>
      <c r="D77" s="139"/>
      <c r="E77" s="297"/>
      <c r="F77" s="298"/>
      <c r="G77" s="298"/>
      <c r="H77" s="299"/>
      <c r="I77" s="299"/>
      <c r="J77" s="299"/>
      <c r="K77" s="300"/>
      <c r="L77" s="300"/>
      <c r="M77" s="300"/>
      <c r="N77" s="300"/>
      <c r="O77" s="300"/>
      <c r="P77" s="300"/>
      <c r="Q77" s="300"/>
      <c r="R77" s="300"/>
      <c r="S77" s="300"/>
      <c r="T77" s="300"/>
      <c r="U77" s="300"/>
      <c r="V77" s="155"/>
    </row>
    <row r="78" spans="3:23">
      <c r="C78" s="42"/>
      <c r="D78" s="256"/>
      <c r="E78" s="297"/>
      <c r="F78" s="298"/>
      <c r="G78" s="298"/>
      <c r="H78" s="299"/>
      <c r="I78" s="299"/>
      <c r="J78" s="299"/>
      <c r="K78" s="300"/>
      <c r="L78" s="300"/>
      <c r="M78" s="300"/>
      <c r="N78" s="300"/>
      <c r="O78" s="300"/>
      <c r="P78" s="300"/>
      <c r="Q78" s="300"/>
      <c r="R78" s="300"/>
      <c r="S78" s="300"/>
      <c r="T78" s="300"/>
      <c r="U78" s="300"/>
      <c r="V78" s="155"/>
    </row>
    <row r="79" spans="3:23">
      <c r="C79" s="42"/>
      <c r="D79" s="256"/>
      <c r="E79" s="297"/>
      <c r="F79" s="298"/>
      <c r="G79" s="298"/>
      <c r="H79" s="299"/>
      <c r="I79" s="299"/>
      <c r="J79" s="299"/>
      <c r="K79" s="300"/>
      <c r="L79" s="300"/>
      <c r="M79" s="300"/>
      <c r="N79" s="300"/>
      <c r="O79" s="300"/>
      <c r="P79" s="300"/>
      <c r="Q79" s="300"/>
      <c r="R79" s="300"/>
      <c r="S79" s="300"/>
      <c r="T79" s="300"/>
      <c r="U79" s="300"/>
      <c r="V79" s="155"/>
    </row>
    <row r="80" spans="3:23">
      <c r="C80" s="42"/>
      <c r="D80" s="256"/>
      <c r="E80" s="297"/>
      <c r="F80" s="298"/>
      <c r="G80" s="298"/>
      <c r="H80" s="299"/>
      <c r="I80" s="299"/>
      <c r="J80" s="299"/>
      <c r="K80" s="300"/>
      <c r="L80" s="300"/>
      <c r="M80" s="300"/>
      <c r="N80" s="300"/>
      <c r="O80" s="300"/>
      <c r="P80" s="300"/>
      <c r="Q80" s="300"/>
      <c r="R80" s="300"/>
      <c r="S80" s="300"/>
      <c r="T80" s="300"/>
      <c r="U80" s="300"/>
      <c r="V80" s="155"/>
    </row>
    <row r="81" spans="3:21">
      <c r="C81" s="42"/>
      <c r="D81" s="256"/>
      <c r="E81" s="297"/>
      <c r="F81" s="298"/>
      <c r="G81" s="298"/>
      <c r="H81" s="299"/>
      <c r="I81" s="299"/>
      <c r="J81" s="299"/>
      <c r="K81" s="300"/>
      <c r="L81" s="300"/>
      <c r="M81" s="300"/>
      <c r="N81" s="300"/>
      <c r="O81" s="300"/>
      <c r="P81" s="300"/>
      <c r="Q81" s="300"/>
      <c r="R81" s="300"/>
      <c r="S81" s="300"/>
      <c r="T81" s="300"/>
      <c r="U81" s="300"/>
    </row>
    <row r="82" spans="3:21">
      <c r="C82" s="42"/>
      <c r="D82" s="256"/>
      <c r="E82" s="297"/>
      <c r="F82" s="298"/>
      <c r="G82" s="298"/>
      <c r="H82" s="299"/>
      <c r="I82" s="299"/>
      <c r="J82" s="299"/>
      <c r="K82" s="300"/>
      <c r="L82" s="300"/>
      <c r="M82" s="300"/>
      <c r="N82" s="300"/>
      <c r="O82" s="300"/>
      <c r="P82" s="300"/>
      <c r="Q82" s="300"/>
      <c r="R82" s="300"/>
      <c r="S82" s="300"/>
      <c r="T82" s="300"/>
      <c r="U82" s="300"/>
    </row>
    <row r="83" spans="3:21">
      <c r="C83" s="42"/>
      <c r="D83" s="256"/>
      <c r="E83" s="297"/>
      <c r="F83" s="298"/>
      <c r="G83" s="298"/>
      <c r="H83" s="299"/>
      <c r="I83" s="299"/>
      <c r="J83" s="299"/>
      <c r="K83" s="300"/>
      <c r="L83" s="300"/>
      <c r="M83" s="300"/>
      <c r="N83" s="300"/>
      <c r="O83" s="300"/>
      <c r="P83" s="300"/>
      <c r="Q83" s="300"/>
      <c r="R83" s="300"/>
      <c r="S83" s="300"/>
      <c r="T83" s="300"/>
      <c r="U83" s="300"/>
    </row>
    <row r="84" spans="3:21">
      <c r="C84" s="42"/>
      <c r="D84" s="256"/>
      <c r="E84" s="297"/>
      <c r="F84" s="298"/>
      <c r="G84" s="298"/>
      <c r="H84" s="299"/>
      <c r="I84" s="299"/>
      <c r="J84" s="299"/>
      <c r="K84" s="300"/>
      <c r="L84" s="300"/>
      <c r="M84" s="300"/>
      <c r="N84" s="300"/>
      <c r="O84" s="300"/>
      <c r="P84" s="300"/>
      <c r="Q84" s="300"/>
      <c r="R84" s="300"/>
      <c r="S84" s="300"/>
      <c r="T84" s="300"/>
      <c r="U84" s="300"/>
    </row>
    <row r="85" spans="3:21">
      <c r="C85" s="42"/>
      <c r="D85" s="256"/>
      <c r="E85" s="297"/>
      <c r="F85" s="298"/>
      <c r="G85" s="298"/>
      <c r="H85" s="299"/>
      <c r="I85" s="299"/>
      <c r="J85" s="299"/>
      <c r="K85" s="300"/>
      <c r="L85" s="300"/>
      <c r="M85" s="300"/>
      <c r="N85" s="300"/>
      <c r="O85" s="300"/>
      <c r="P85" s="300"/>
      <c r="Q85" s="300"/>
      <c r="R85" s="300"/>
      <c r="S85" s="300"/>
      <c r="T85" s="300"/>
      <c r="U85" s="300"/>
    </row>
    <row r="86" spans="3:21">
      <c r="C86" s="42"/>
      <c r="D86" s="256"/>
      <c r="E86" s="297"/>
      <c r="F86" s="298"/>
      <c r="G86" s="298"/>
      <c r="H86" s="299"/>
      <c r="I86" s="299"/>
      <c r="J86" s="299"/>
      <c r="K86" s="300"/>
      <c r="L86" s="300"/>
      <c r="M86" s="300"/>
      <c r="N86" s="300"/>
      <c r="O86" s="300"/>
      <c r="P86" s="300"/>
      <c r="Q86" s="300"/>
      <c r="R86" s="300"/>
      <c r="S86" s="300"/>
      <c r="T86" s="300"/>
      <c r="U86" s="300"/>
    </row>
    <row r="87" spans="3:21">
      <c r="C87" s="42"/>
      <c r="D87" s="256"/>
      <c r="E87" s="297"/>
      <c r="F87" s="298"/>
      <c r="G87" s="298"/>
      <c r="H87" s="299"/>
      <c r="I87" s="299"/>
      <c r="J87" s="299"/>
      <c r="K87" s="300"/>
      <c r="L87" s="300"/>
      <c r="M87" s="300"/>
      <c r="N87" s="300"/>
      <c r="O87" s="300"/>
      <c r="P87" s="300"/>
      <c r="Q87" s="300"/>
      <c r="R87" s="300"/>
      <c r="S87" s="300"/>
      <c r="T87" s="300"/>
      <c r="U87" s="300"/>
    </row>
    <row r="88" spans="3:21">
      <c r="C88" s="42"/>
      <c r="D88" s="139"/>
      <c r="E88" s="297"/>
      <c r="F88" s="298"/>
      <c r="G88" s="298"/>
      <c r="H88" s="299"/>
      <c r="I88" s="299"/>
      <c r="J88" s="299"/>
      <c r="K88" s="300"/>
      <c r="L88" s="300"/>
      <c r="M88" s="300"/>
      <c r="N88" s="300"/>
      <c r="O88" s="300"/>
      <c r="P88" s="300"/>
      <c r="Q88" s="300"/>
      <c r="R88" s="300"/>
      <c r="S88" s="300"/>
      <c r="T88" s="300"/>
      <c r="U88" s="300"/>
    </row>
    <row r="89" spans="3:21">
      <c r="C89" s="42"/>
      <c r="D89" s="139"/>
      <c r="E89" s="297"/>
      <c r="F89" s="298"/>
      <c r="G89" s="298"/>
      <c r="H89" s="299"/>
      <c r="I89" s="299"/>
      <c r="J89" s="299"/>
      <c r="K89" s="300"/>
      <c r="L89" s="300"/>
      <c r="M89" s="300"/>
      <c r="N89" s="300"/>
      <c r="O89" s="300"/>
      <c r="P89" s="300"/>
      <c r="Q89" s="300"/>
      <c r="R89" s="300"/>
      <c r="S89" s="300"/>
      <c r="T89" s="300"/>
      <c r="U89" s="300"/>
    </row>
    <row r="90" spans="3:21">
      <c r="C90" s="42"/>
      <c r="D90" s="134"/>
      <c r="E90" s="297"/>
      <c r="F90" s="298"/>
      <c r="G90" s="298"/>
      <c r="H90" s="299"/>
      <c r="I90" s="299"/>
      <c r="J90" s="299"/>
      <c r="K90" s="300"/>
      <c r="L90" s="300"/>
      <c r="M90" s="300"/>
      <c r="N90" s="300"/>
      <c r="O90" s="300"/>
      <c r="P90" s="300"/>
      <c r="Q90" s="300"/>
      <c r="R90" s="300"/>
      <c r="S90" s="300"/>
      <c r="T90" s="300"/>
      <c r="U90" s="300"/>
    </row>
    <row r="91" spans="3:21">
      <c r="C91" s="42"/>
      <c r="D91" s="134"/>
      <c r="E91" s="297"/>
      <c r="F91" s="298"/>
      <c r="G91" s="298"/>
      <c r="H91" s="299"/>
      <c r="I91" s="299"/>
      <c r="J91" s="299"/>
      <c r="K91" s="300"/>
      <c r="L91" s="300"/>
      <c r="M91" s="300"/>
      <c r="N91" s="300"/>
      <c r="O91" s="300"/>
      <c r="P91" s="300"/>
      <c r="Q91" s="300"/>
      <c r="R91" s="300"/>
      <c r="S91" s="300"/>
      <c r="T91" s="300"/>
      <c r="U91" s="300"/>
    </row>
    <row r="92" spans="3:21">
      <c r="C92" s="42"/>
      <c r="D92" s="134"/>
      <c r="E92" s="297"/>
      <c r="F92" s="298"/>
      <c r="G92" s="298"/>
      <c r="H92" s="299"/>
      <c r="I92" s="299"/>
      <c r="J92" s="299"/>
      <c r="K92" s="300"/>
      <c r="L92" s="300"/>
      <c r="M92" s="300"/>
      <c r="N92" s="300"/>
      <c r="O92" s="300"/>
      <c r="P92" s="300"/>
      <c r="Q92" s="300"/>
      <c r="R92" s="300"/>
      <c r="S92" s="300"/>
      <c r="T92" s="300"/>
      <c r="U92" s="300"/>
    </row>
    <row r="93" spans="3:21">
      <c r="C93" s="42"/>
      <c r="D93" s="134"/>
      <c r="E93" s="297"/>
      <c r="F93" s="298"/>
      <c r="G93" s="298"/>
      <c r="H93" s="299"/>
      <c r="I93" s="299"/>
      <c r="J93" s="299"/>
      <c r="K93" s="300"/>
      <c r="L93" s="300"/>
      <c r="M93" s="300"/>
      <c r="N93" s="300"/>
      <c r="O93" s="300"/>
      <c r="P93" s="300"/>
      <c r="Q93" s="300"/>
      <c r="R93" s="300"/>
      <c r="S93" s="300"/>
      <c r="T93" s="300"/>
      <c r="U93" s="300"/>
    </row>
    <row r="94" spans="3:21">
      <c r="C94" s="42"/>
      <c r="D94" s="134"/>
      <c r="E94" s="297"/>
      <c r="F94" s="298"/>
      <c r="G94" s="298"/>
      <c r="H94" s="299"/>
      <c r="I94" s="299"/>
      <c r="J94" s="299"/>
      <c r="K94" s="300"/>
      <c r="L94" s="300"/>
      <c r="M94" s="300"/>
      <c r="N94" s="300"/>
      <c r="O94" s="300"/>
      <c r="P94" s="300"/>
      <c r="Q94" s="300"/>
      <c r="R94" s="300"/>
      <c r="S94" s="300"/>
      <c r="T94" s="300"/>
      <c r="U94" s="300"/>
    </row>
    <row r="95" spans="3:21">
      <c r="C95" s="42"/>
      <c r="D95" s="134"/>
      <c r="E95" s="297"/>
      <c r="F95" s="298"/>
      <c r="G95" s="298"/>
      <c r="H95" s="299"/>
      <c r="I95" s="299"/>
      <c r="J95" s="299"/>
      <c r="K95" s="300"/>
      <c r="L95" s="300"/>
      <c r="M95" s="300"/>
      <c r="N95" s="300"/>
      <c r="O95" s="300"/>
      <c r="P95" s="300"/>
      <c r="Q95" s="300"/>
      <c r="R95" s="300"/>
      <c r="S95" s="300"/>
      <c r="T95" s="300"/>
      <c r="U95" s="300"/>
    </row>
    <row r="96" spans="3:21">
      <c r="C96" s="42"/>
      <c r="D96" s="134"/>
      <c r="E96" s="297"/>
      <c r="F96" s="298"/>
      <c r="G96" s="298"/>
      <c r="H96" s="299"/>
      <c r="I96" s="299"/>
      <c r="J96" s="299"/>
      <c r="K96" s="300"/>
      <c r="L96" s="300"/>
      <c r="M96" s="300"/>
      <c r="N96" s="300"/>
      <c r="O96" s="300"/>
      <c r="P96" s="300"/>
      <c r="Q96" s="300"/>
      <c r="R96" s="300"/>
      <c r="S96" s="300"/>
      <c r="T96" s="300"/>
      <c r="U96" s="300"/>
    </row>
    <row r="97" spans="2:21">
      <c r="C97" s="42"/>
      <c r="D97" s="134"/>
      <c r="E97" s="297"/>
      <c r="F97" s="298"/>
      <c r="G97" s="298"/>
      <c r="H97" s="299"/>
      <c r="I97" s="299"/>
      <c r="J97" s="299"/>
      <c r="K97" s="300"/>
      <c r="L97" s="300"/>
      <c r="M97" s="300"/>
      <c r="N97" s="300"/>
      <c r="O97" s="300"/>
      <c r="P97" s="300"/>
      <c r="Q97" s="300"/>
      <c r="R97" s="300"/>
      <c r="S97" s="300"/>
      <c r="T97" s="300"/>
      <c r="U97" s="300"/>
    </row>
    <row r="98" spans="2:21">
      <c r="C98" s="42"/>
      <c r="D98" s="134"/>
      <c r="E98" s="297"/>
      <c r="F98" s="298"/>
      <c r="G98" s="298"/>
      <c r="H98" s="299"/>
      <c r="I98" s="299"/>
      <c r="J98" s="299"/>
      <c r="K98" s="300"/>
      <c r="L98" s="300"/>
      <c r="M98" s="300"/>
      <c r="N98" s="300"/>
      <c r="O98" s="300"/>
      <c r="P98" s="300"/>
      <c r="Q98" s="300"/>
      <c r="R98" s="300"/>
      <c r="S98" s="300"/>
      <c r="T98" s="300"/>
      <c r="U98" s="300"/>
    </row>
    <row r="99" spans="2:21">
      <c r="C99" s="42"/>
      <c r="D99" s="134"/>
      <c r="E99" s="297"/>
      <c r="F99" s="298"/>
      <c r="G99" s="298"/>
      <c r="H99" s="299"/>
      <c r="I99" s="299"/>
      <c r="J99" s="299"/>
      <c r="K99" s="300"/>
      <c r="L99" s="300"/>
      <c r="M99" s="300"/>
      <c r="N99" s="300"/>
      <c r="O99" s="300"/>
      <c r="P99" s="300"/>
      <c r="Q99" s="300"/>
      <c r="R99" s="300"/>
      <c r="S99" s="300"/>
      <c r="T99" s="300"/>
      <c r="U99" s="300"/>
    </row>
    <row r="100" spans="2:21">
      <c r="C100" s="42"/>
      <c r="D100" s="134"/>
      <c r="E100" s="297"/>
      <c r="F100" s="298"/>
      <c r="G100" s="298"/>
      <c r="H100" s="299"/>
      <c r="I100" s="299"/>
      <c r="J100" s="299"/>
      <c r="K100" s="300"/>
      <c r="L100" s="300"/>
      <c r="M100" s="300"/>
      <c r="N100" s="300"/>
      <c r="O100" s="300"/>
      <c r="P100" s="300"/>
      <c r="Q100" s="300"/>
      <c r="R100" s="300"/>
      <c r="S100" s="300"/>
      <c r="T100" s="300"/>
      <c r="U100" s="300"/>
    </row>
    <row r="101" spans="2:21">
      <c r="C101" s="42"/>
      <c r="D101" s="42"/>
    </row>
    <row r="102" spans="2:21">
      <c r="B102" s="135"/>
      <c r="C102" s="136"/>
      <c r="D102" s="137"/>
      <c r="E102" s="20"/>
      <c r="F102" s="138"/>
      <c r="G102" s="136"/>
      <c r="H102" s="140"/>
      <c r="I102" s="140"/>
      <c r="J102" s="140"/>
      <c r="K102" s="132"/>
      <c r="M102" s="133"/>
      <c r="O102" s="131"/>
    </row>
    <row r="103" spans="2:21">
      <c r="B103" s="135"/>
      <c r="C103" s="136"/>
      <c r="D103" s="137"/>
      <c r="E103" s="20"/>
      <c r="F103" s="138"/>
      <c r="G103" s="136"/>
      <c r="H103" s="156"/>
      <c r="I103" s="156"/>
      <c r="J103" s="156"/>
      <c r="K103" s="19"/>
    </row>
    <row r="104" spans="2:21">
      <c r="B104" s="135"/>
      <c r="C104" s="136"/>
      <c r="D104" s="137"/>
      <c r="E104" s="20"/>
      <c r="F104" s="138"/>
      <c r="G104" s="136"/>
      <c r="H104" s="156"/>
      <c r="I104" s="156"/>
      <c r="J104" s="156"/>
      <c r="K104" s="161"/>
      <c r="L104" s="162"/>
      <c r="M104" s="162"/>
      <c r="N104" s="162"/>
      <c r="O104" s="162"/>
      <c r="P104" s="162"/>
      <c r="Q104" s="162"/>
      <c r="R104" s="162"/>
      <c r="S104" s="162"/>
      <c r="T104" s="162"/>
      <c r="U104" s="162"/>
    </row>
    <row r="105" spans="2:21">
      <c r="B105" s="135"/>
      <c r="C105" s="136"/>
      <c r="D105" s="137"/>
      <c r="E105" s="20"/>
      <c r="F105" s="138"/>
      <c r="G105" s="136"/>
      <c r="H105" s="156"/>
      <c r="I105" s="156"/>
      <c r="J105" s="156"/>
      <c r="K105" s="193"/>
      <c r="L105" s="3"/>
      <c r="M105" s="3"/>
      <c r="N105" s="3"/>
      <c r="O105" s="3"/>
      <c r="P105" s="3"/>
      <c r="Q105" s="3"/>
      <c r="R105" s="3"/>
    </row>
    <row r="106" spans="2:21">
      <c r="B106" s="135"/>
      <c r="C106" s="136"/>
      <c r="D106" s="137"/>
      <c r="E106" s="20"/>
      <c r="F106" s="138"/>
      <c r="G106" s="136"/>
      <c r="H106" s="156"/>
      <c r="I106" s="156"/>
      <c r="J106" s="156"/>
    </row>
    <row r="107" spans="2:21">
      <c r="B107" s="135"/>
      <c r="C107" s="136"/>
      <c r="D107" s="137"/>
      <c r="E107" s="20"/>
      <c r="F107" s="138"/>
      <c r="G107" s="136"/>
      <c r="H107" s="156"/>
      <c r="I107" s="156"/>
      <c r="J107" s="156"/>
      <c r="K107" s="19"/>
    </row>
    <row r="108" spans="2:21">
      <c r="B108" s="135"/>
      <c r="C108" s="136"/>
      <c r="D108" s="137"/>
      <c r="E108" s="20"/>
      <c r="F108" s="138"/>
      <c r="G108" s="136"/>
      <c r="H108" s="156"/>
      <c r="I108" s="156"/>
      <c r="J108" s="156"/>
      <c r="K108" s="19"/>
    </row>
    <row r="109" spans="2:21">
      <c r="B109" s="135"/>
      <c r="C109" s="136"/>
      <c r="D109" s="137"/>
      <c r="E109" s="20"/>
      <c r="F109" s="138"/>
      <c r="G109" s="136"/>
      <c r="H109" s="156"/>
      <c r="I109" s="156"/>
      <c r="J109" s="156"/>
      <c r="K109" s="19"/>
    </row>
    <row r="110" spans="2:21">
      <c r="B110" s="135"/>
      <c r="C110" s="136"/>
      <c r="D110" s="137"/>
      <c r="E110" s="20"/>
      <c r="F110" s="138"/>
      <c r="G110" s="136"/>
      <c r="H110" s="156"/>
      <c r="I110" s="156"/>
      <c r="J110" s="156"/>
      <c r="K110" s="19"/>
    </row>
    <row r="111" spans="2:21">
      <c r="B111" s="135"/>
      <c r="C111" s="136"/>
      <c r="D111" s="137"/>
      <c r="E111" s="20"/>
      <c r="F111" s="138"/>
      <c r="G111" s="136"/>
      <c r="H111" s="156"/>
      <c r="I111" s="156"/>
      <c r="J111" s="156"/>
      <c r="K111" s="19"/>
    </row>
    <row r="112" spans="2:21">
      <c r="B112" s="135"/>
      <c r="C112" s="136"/>
      <c r="D112" s="137"/>
      <c r="E112" s="20"/>
      <c r="F112" s="138"/>
      <c r="G112" s="136"/>
      <c r="H112" s="156"/>
      <c r="I112" s="156"/>
      <c r="J112" s="156"/>
      <c r="K112" s="19"/>
    </row>
    <row r="113" spans="2:11">
      <c r="B113" s="135"/>
      <c r="C113" s="136"/>
      <c r="D113" s="137"/>
      <c r="E113" s="20"/>
      <c r="F113" s="138"/>
      <c r="G113" s="136"/>
      <c r="H113" s="156"/>
      <c r="I113" s="156"/>
      <c r="J113" s="156"/>
      <c r="K113" s="19"/>
    </row>
    <row r="114" spans="2:11">
      <c r="C114" s="42"/>
      <c r="D114" s="42"/>
      <c r="H114" s="156"/>
      <c r="I114" s="156"/>
      <c r="J114" s="156"/>
      <c r="K114" s="19"/>
    </row>
    <row r="115" spans="2:11">
      <c r="C115" s="42"/>
      <c r="D115" s="42"/>
      <c r="H115" s="136"/>
      <c r="I115" s="136"/>
      <c r="J115" s="136"/>
      <c r="K115" s="19"/>
    </row>
    <row r="116" spans="2:11">
      <c r="C116" s="42"/>
      <c r="D116" s="42"/>
      <c r="H116" s="136"/>
      <c r="I116" s="136"/>
      <c r="J116" s="136"/>
      <c r="K116" s="19"/>
    </row>
    <row r="117" spans="2:11">
      <c r="C117" s="42"/>
      <c r="D117" s="42"/>
      <c r="H117" s="136"/>
      <c r="I117" s="136"/>
      <c r="J117" s="136"/>
      <c r="K117" s="19"/>
    </row>
    <row r="118" spans="2:11">
      <c r="C118" s="42"/>
      <c r="D118" s="42"/>
      <c r="H118" s="136"/>
      <c r="I118" s="136"/>
      <c r="J118" s="136"/>
      <c r="K118" s="19"/>
    </row>
    <row r="119" spans="2:11">
      <c r="C119" s="42"/>
      <c r="D119" s="42"/>
      <c r="H119" s="136"/>
      <c r="I119" s="136"/>
      <c r="J119" s="136"/>
      <c r="K119" s="19"/>
    </row>
    <row r="120" spans="2:11">
      <c r="C120" s="42"/>
      <c r="D120" s="42"/>
      <c r="H120" s="136"/>
      <c r="I120" s="136"/>
      <c r="J120" s="136"/>
      <c r="K120" s="19"/>
    </row>
    <row r="121" spans="2:11">
      <c r="C121" s="42"/>
      <c r="D121" s="42"/>
      <c r="H121" s="136"/>
      <c r="I121" s="136"/>
      <c r="J121" s="136"/>
      <c r="K121" s="19"/>
    </row>
    <row r="122" spans="2:11">
      <c r="C122" s="42"/>
      <c r="D122" s="42"/>
      <c r="H122" s="136"/>
      <c r="I122" s="136"/>
      <c r="J122" s="136"/>
      <c r="K122" s="19"/>
    </row>
    <row r="123" spans="2:11">
      <c r="C123" s="42"/>
      <c r="D123" s="42"/>
      <c r="H123" s="136"/>
      <c r="I123" s="136"/>
      <c r="J123" s="136"/>
      <c r="K123" s="19"/>
    </row>
    <row r="124" spans="2:11">
      <c r="C124" s="42"/>
      <c r="D124" s="42"/>
      <c r="H124" s="136"/>
      <c r="I124" s="136"/>
      <c r="J124" s="136"/>
      <c r="K124" s="19"/>
    </row>
    <row r="125" spans="2:11">
      <c r="C125" s="42"/>
      <c r="D125" s="42"/>
      <c r="H125" s="136"/>
      <c r="I125" s="136"/>
      <c r="J125" s="136"/>
      <c r="K125" s="19"/>
    </row>
    <row r="126" spans="2:11">
      <c r="C126" s="42"/>
      <c r="D126" s="42"/>
      <c r="H126" s="136"/>
      <c r="I126" s="136"/>
      <c r="J126" s="136"/>
      <c r="K126" s="19"/>
    </row>
    <row r="127" spans="2:11">
      <c r="C127" s="42"/>
      <c r="D127" s="42"/>
      <c r="H127" s="19"/>
      <c r="I127" s="19"/>
      <c r="J127" s="19"/>
      <c r="K127" s="19"/>
    </row>
    <row r="128" spans="2:11">
      <c r="C128" s="42"/>
      <c r="D128" s="42"/>
    </row>
    <row r="129" spans="3:4">
      <c r="C129" s="42"/>
      <c r="D129" s="42"/>
    </row>
    <row r="130" spans="3:4">
      <c r="C130" s="42"/>
      <c r="D130" s="42"/>
    </row>
    <row r="131" spans="3:4">
      <c r="C131" s="42"/>
      <c r="D131" s="42"/>
    </row>
    <row r="132" spans="3:4">
      <c r="C132" s="42"/>
      <c r="D132" s="42"/>
    </row>
    <row r="133" spans="3:4">
      <c r="C133" s="42"/>
      <c r="D133" s="42"/>
    </row>
    <row r="134" spans="3:4">
      <c r="C134" s="42"/>
      <c r="D134" s="42"/>
    </row>
    <row r="135" spans="3:4">
      <c r="C135" s="42"/>
      <c r="D135" s="42"/>
    </row>
    <row r="136" spans="3:4">
      <c r="C136" s="42"/>
      <c r="D136" s="42"/>
    </row>
    <row r="137" spans="3:4">
      <c r="C137" s="42"/>
      <c r="D137" s="42"/>
    </row>
    <row r="138" spans="3:4">
      <c r="C138" s="42"/>
      <c r="D138" s="42"/>
    </row>
    <row r="139" spans="3:4">
      <c r="C139" s="42"/>
      <c r="D139" s="42"/>
    </row>
    <row r="140" spans="3:4">
      <c r="C140" s="42"/>
      <c r="D140" s="42"/>
    </row>
    <row r="141" spans="3:4">
      <c r="C141" s="42"/>
      <c r="D141" s="42"/>
    </row>
    <row r="142" spans="3:4">
      <c r="C142" s="42"/>
      <c r="D142" s="42"/>
    </row>
    <row r="143" spans="3:4">
      <c r="C143" s="42"/>
      <c r="D143" s="42"/>
    </row>
    <row r="144" spans="3:4">
      <c r="C144" s="42"/>
      <c r="D144" s="42"/>
    </row>
    <row r="145" spans="3:4">
      <c r="C145" s="42"/>
      <c r="D145" s="42"/>
    </row>
    <row r="146" spans="3:4">
      <c r="C146" s="42"/>
      <c r="D146" s="42"/>
    </row>
    <row r="147" spans="3:4">
      <c r="C147" s="42"/>
      <c r="D147" s="42"/>
    </row>
    <row r="148" spans="3:4">
      <c r="C148" s="42"/>
      <c r="D148" s="42"/>
    </row>
    <row r="149" spans="3:4">
      <c r="C149" s="42"/>
      <c r="D149" s="42"/>
    </row>
    <row r="150" spans="3:4">
      <c r="C150" s="42"/>
      <c r="D150" s="42"/>
    </row>
    <row r="151" spans="3:4">
      <c r="C151" s="42"/>
      <c r="D151" s="42"/>
    </row>
    <row r="152" spans="3:4">
      <c r="C152" s="42"/>
      <c r="D152" s="42"/>
    </row>
    <row r="153" spans="3:4">
      <c r="C153" s="42"/>
      <c r="D153" s="42"/>
    </row>
    <row r="154" spans="3:4">
      <c r="C154" s="42"/>
      <c r="D154" s="42"/>
    </row>
    <row r="155" spans="3:4">
      <c r="C155" s="42"/>
      <c r="D155" s="42"/>
    </row>
    <row r="156" spans="3:4">
      <c r="C156" s="42"/>
      <c r="D156" s="42"/>
    </row>
    <row r="157" spans="3:4">
      <c r="C157" s="42"/>
      <c r="D157" s="42"/>
    </row>
    <row r="158" spans="3:4">
      <c r="C158" s="42"/>
      <c r="D158" s="42"/>
    </row>
    <row r="159" spans="3:4">
      <c r="C159" s="42"/>
      <c r="D159" s="42"/>
    </row>
    <row r="160" spans="3:4">
      <c r="C160" s="42"/>
      <c r="D160" s="42"/>
    </row>
    <row r="161" spans="3:4">
      <c r="C161" s="42"/>
      <c r="D161" s="42"/>
    </row>
    <row r="162" spans="3:4">
      <c r="C162" s="42"/>
      <c r="D162" s="42"/>
    </row>
    <row r="163" spans="3:4">
      <c r="C163" s="42"/>
      <c r="D163" s="42"/>
    </row>
    <row r="164" spans="3:4">
      <c r="C164" s="42"/>
      <c r="D164" s="42"/>
    </row>
    <row r="165" spans="3:4">
      <c r="C165" s="42"/>
      <c r="D165" s="42"/>
    </row>
    <row r="166" spans="3:4">
      <c r="C166" s="42"/>
      <c r="D166" s="42"/>
    </row>
    <row r="167" spans="3:4">
      <c r="C167" s="42"/>
      <c r="D167" s="42"/>
    </row>
    <row r="168" spans="3:4">
      <c r="C168" s="42"/>
      <c r="D168" s="42"/>
    </row>
    <row r="169" spans="3:4">
      <c r="C169" s="42"/>
      <c r="D169" s="42"/>
    </row>
    <row r="170" spans="3:4">
      <c r="C170" s="42"/>
      <c r="D170" s="42"/>
    </row>
    <row r="171" spans="3:4">
      <c r="C171" s="42"/>
      <c r="D171" s="42"/>
    </row>
    <row r="172" spans="3:4">
      <c r="C172" s="42"/>
      <c r="D172" s="42"/>
    </row>
    <row r="173" spans="3:4">
      <c r="C173" s="42"/>
      <c r="D173" s="42"/>
    </row>
    <row r="174" spans="3:4">
      <c r="C174" s="42"/>
      <c r="D174" s="42"/>
    </row>
    <row r="175" spans="3:4">
      <c r="C175" s="42"/>
      <c r="D175" s="42"/>
    </row>
    <row r="176" spans="3:4">
      <c r="C176" s="42"/>
      <c r="D176" s="42"/>
    </row>
    <row r="177" spans="3:4">
      <c r="C177" s="42"/>
      <c r="D177" s="42"/>
    </row>
    <row r="178" spans="3:4">
      <c r="C178" s="42"/>
      <c r="D178" s="42"/>
    </row>
    <row r="179" spans="3:4">
      <c r="C179" s="42"/>
      <c r="D179" s="42"/>
    </row>
    <row r="180" spans="3:4">
      <c r="C180" s="42"/>
      <c r="D180" s="42"/>
    </row>
    <row r="181" spans="3:4">
      <c r="C181" s="42"/>
      <c r="D181" s="42"/>
    </row>
    <row r="182" spans="3:4">
      <c r="C182" s="42"/>
      <c r="D182" s="42"/>
    </row>
    <row r="183" spans="3:4">
      <c r="C183" s="42"/>
      <c r="D183" s="42"/>
    </row>
    <row r="184" spans="3:4">
      <c r="C184" s="42"/>
      <c r="D184" s="42"/>
    </row>
    <row r="185" spans="3:4">
      <c r="C185" s="42"/>
      <c r="D185" s="42"/>
    </row>
    <row r="186" spans="3:4">
      <c r="C186" s="42"/>
      <c r="D186" s="42"/>
    </row>
    <row r="187" spans="3:4">
      <c r="C187" s="42"/>
      <c r="D187" s="42"/>
    </row>
    <row r="188" spans="3:4">
      <c r="C188" s="42"/>
      <c r="D188" s="42"/>
    </row>
    <row r="189" spans="3:4">
      <c r="C189" s="42"/>
      <c r="D189" s="42"/>
    </row>
    <row r="190" spans="3:4">
      <c r="C190" s="42"/>
      <c r="D190" s="42"/>
    </row>
    <row r="191" spans="3:4">
      <c r="C191" s="42"/>
      <c r="D191" s="42"/>
    </row>
    <row r="192" spans="3:4">
      <c r="C192" s="42"/>
      <c r="D192" s="42"/>
    </row>
    <row r="193" spans="3:4">
      <c r="C193" s="42"/>
      <c r="D193" s="42"/>
    </row>
    <row r="194" spans="3:4">
      <c r="C194" s="42"/>
      <c r="D194" s="42"/>
    </row>
    <row r="195" spans="3:4">
      <c r="C195" s="42"/>
      <c r="D195" s="42"/>
    </row>
    <row r="196" spans="3:4">
      <c r="C196" s="42"/>
      <c r="D196" s="42"/>
    </row>
    <row r="197" spans="3:4">
      <c r="C197" s="42"/>
      <c r="D197" s="42"/>
    </row>
    <row r="198" spans="3:4">
      <c r="C198" s="42"/>
      <c r="D198" s="42"/>
    </row>
    <row r="199" spans="3:4">
      <c r="C199" s="42"/>
      <c r="D199" s="42"/>
    </row>
    <row r="200" spans="3:4">
      <c r="C200" s="42"/>
      <c r="D200" s="42"/>
    </row>
    <row r="201" spans="3:4">
      <c r="C201" s="42"/>
      <c r="D201" s="42"/>
    </row>
    <row r="202" spans="3:4">
      <c r="C202" s="42"/>
      <c r="D202" s="42"/>
    </row>
    <row r="203" spans="3:4">
      <c r="C203" s="42"/>
      <c r="D203" s="42"/>
    </row>
    <row r="204" spans="3:4">
      <c r="C204" s="42"/>
      <c r="D204" s="42"/>
    </row>
    <row r="205" spans="3:4">
      <c r="C205" s="42"/>
      <c r="D205" s="42"/>
    </row>
    <row r="206" spans="3:4">
      <c r="C206" s="42"/>
      <c r="D206" s="42"/>
    </row>
    <row r="207" spans="3:4">
      <c r="C207" s="42"/>
      <c r="D207" s="42"/>
    </row>
    <row r="208" spans="3:4">
      <c r="C208" s="42"/>
      <c r="D208" s="42"/>
    </row>
    <row r="209" spans="3:4">
      <c r="C209" s="42"/>
      <c r="D209" s="42"/>
    </row>
    <row r="210" spans="3:4">
      <c r="C210" s="42"/>
      <c r="D210" s="42"/>
    </row>
    <row r="211" spans="3:4">
      <c r="C211" s="42"/>
      <c r="D211" s="42"/>
    </row>
    <row r="212" spans="3:4">
      <c r="C212" s="42"/>
      <c r="D212" s="42"/>
    </row>
    <row r="213" spans="3:4">
      <c r="C213" s="42"/>
      <c r="D213" s="42"/>
    </row>
    <row r="214" spans="3:4">
      <c r="C214" s="42"/>
      <c r="D214" s="42"/>
    </row>
    <row r="215" spans="3:4">
      <c r="C215" s="42"/>
      <c r="D215" s="42"/>
    </row>
    <row r="216" spans="3:4">
      <c r="C216" s="42"/>
      <c r="D216" s="42"/>
    </row>
    <row r="217" spans="3:4">
      <c r="C217" s="42"/>
      <c r="D217" s="42"/>
    </row>
    <row r="218" spans="3:4">
      <c r="C218" s="42"/>
      <c r="D218" s="42"/>
    </row>
    <row r="219" spans="3:4">
      <c r="C219" s="42"/>
      <c r="D219" s="42"/>
    </row>
    <row r="220" spans="3:4">
      <c r="C220" s="42"/>
      <c r="D220" s="42"/>
    </row>
    <row r="221" spans="3:4">
      <c r="C221" s="42"/>
      <c r="D221" s="42"/>
    </row>
    <row r="222" spans="3:4">
      <c r="C222" s="42"/>
      <c r="D222" s="42"/>
    </row>
    <row r="223" spans="3:4">
      <c r="C223" s="42"/>
      <c r="D223" s="42"/>
    </row>
    <row r="224" spans="3:4">
      <c r="C224" s="42"/>
      <c r="D224" s="42"/>
    </row>
    <row r="225" spans="3:4">
      <c r="C225" s="42"/>
      <c r="D225" s="42"/>
    </row>
    <row r="226" spans="3:4">
      <c r="C226" s="42"/>
      <c r="D226" s="42"/>
    </row>
    <row r="227" spans="3:4">
      <c r="C227" s="42"/>
      <c r="D227" s="42"/>
    </row>
    <row r="228" spans="3:4">
      <c r="C228" s="42"/>
      <c r="D228" s="42"/>
    </row>
    <row r="229" spans="3:4">
      <c r="C229" s="42"/>
      <c r="D229" s="42"/>
    </row>
    <row r="230" spans="3:4">
      <c r="C230" s="42"/>
      <c r="D230" s="42"/>
    </row>
    <row r="231" spans="3:4">
      <c r="C231" s="42"/>
      <c r="D231" s="42"/>
    </row>
    <row r="232" spans="3:4">
      <c r="C232" s="42"/>
      <c r="D232" s="42"/>
    </row>
    <row r="233" spans="3:4">
      <c r="C233" s="42"/>
      <c r="D233" s="42"/>
    </row>
    <row r="234" spans="3:4">
      <c r="C234" s="42"/>
      <c r="D234" s="42"/>
    </row>
    <row r="235" spans="3:4">
      <c r="C235" s="42"/>
      <c r="D235" s="42"/>
    </row>
    <row r="236" spans="3:4">
      <c r="C236" s="42"/>
      <c r="D236" s="42"/>
    </row>
    <row r="237" spans="3:4">
      <c r="C237" s="42"/>
      <c r="D237" s="42"/>
    </row>
    <row r="238" spans="3:4">
      <c r="C238" s="42"/>
      <c r="D238" s="42"/>
    </row>
    <row r="239" spans="3:4">
      <c r="C239" s="42"/>
      <c r="D239" s="42"/>
    </row>
    <row r="240" spans="3:4">
      <c r="C240" s="42"/>
      <c r="D240" s="42"/>
    </row>
    <row r="241" spans="3:4">
      <c r="C241" s="42"/>
      <c r="D241" s="42"/>
    </row>
    <row r="242" spans="3:4">
      <c r="C242" s="42"/>
      <c r="D242" s="42"/>
    </row>
    <row r="243" spans="3:4">
      <c r="C243" s="42"/>
      <c r="D243" s="42"/>
    </row>
    <row r="244" spans="3:4">
      <c r="C244" s="42"/>
      <c r="D244" s="42"/>
    </row>
    <row r="245" spans="3:4">
      <c r="C245" s="42"/>
      <c r="D245" s="42"/>
    </row>
    <row r="246" spans="3:4">
      <c r="C246" s="42"/>
      <c r="D246" s="42"/>
    </row>
    <row r="247" spans="3:4">
      <c r="C247" s="42"/>
      <c r="D247" s="42"/>
    </row>
    <row r="248" spans="3:4">
      <c r="C248" s="42"/>
      <c r="D248" s="42"/>
    </row>
    <row r="249" spans="3:4">
      <c r="C249" s="42"/>
      <c r="D249" s="42"/>
    </row>
    <row r="250" spans="3:4">
      <c r="C250" s="42"/>
      <c r="D250" s="42"/>
    </row>
    <row r="251" spans="3:4">
      <c r="C251" s="42"/>
      <c r="D251" s="42"/>
    </row>
    <row r="252" spans="3:4">
      <c r="C252" s="42"/>
      <c r="D252" s="42"/>
    </row>
    <row r="253" spans="3:4">
      <c r="C253" s="42"/>
      <c r="D253" s="42"/>
    </row>
    <row r="254" spans="3:4">
      <c r="C254" s="42"/>
      <c r="D254" s="42"/>
    </row>
    <row r="255" spans="3:4">
      <c r="C255" s="42"/>
      <c r="D255" s="42"/>
    </row>
    <row r="256" spans="3:4">
      <c r="C256" s="42"/>
      <c r="D256" s="42"/>
    </row>
    <row r="257" spans="3:4">
      <c r="C257" s="42"/>
      <c r="D257" s="42"/>
    </row>
    <row r="258" spans="3:4">
      <c r="C258" s="42"/>
      <c r="D258" s="42"/>
    </row>
    <row r="259" spans="3:4">
      <c r="C259" s="42"/>
      <c r="D259" s="42"/>
    </row>
    <row r="260" spans="3:4">
      <c r="C260" s="42"/>
      <c r="D260" s="42"/>
    </row>
    <row r="261" spans="3:4">
      <c r="C261" s="42"/>
      <c r="D261" s="42"/>
    </row>
    <row r="262" spans="3:4">
      <c r="C262" s="42"/>
      <c r="D262" s="42"/>
    </row>
    <row r="263" spans="3:4">
      <c r="C263" s="42"/>
      <c r="D263" s="42"/>
    </row>
    <row r="264" spans="3:4">
      <c r="C264" s="42"/>
      <c r="D264" s="42"/>
    </row>
    <row r="265" spans="3:4">
      <c r="C265" s="42"/>
      <c r="D265" s="42"/>
    </row>
    <row r="266" spans="3:4">
      <c r="C266" s="42"/>
      <c r="D266" s="42"/>
    </row>
    <row r="267" spans="3:4">
      <c r="C267" s="42"/>
      <c r="D267" s="42"/>
    </row>
    <row r="268" spans="3:4">
      <c r="C268" s="42"/>
      <c r="D268" s="42"/>
    </row>
    <row r="269" spans="3:4">
      <c r="C269" s="42"/>
      <c r="D269" s="42"/>
    </row>
    <row r="270" spans="3:4">
      <c r="C270" s="42"/>
      <c r="D270" s="42"/>
    </row>
    <row r="271" spans="3:4">
      <c r="C271" s="42"/>
      <c r="D271" s="42"/>
    </row>
    <row r="272" spans="3:4">
      <c r="C272" s="42"/>
      <c r="D272" s="42"/>
    </row>
    <row r="273" spans="3:4">
      <c r="C273" s="42"/>
      <c r="D273" s="42"/>
    </row>
    <row r="274" spans="3:4">
      <c r="C274" s="42"/>
      <c r="D274" s="42"/>
    </row>
    <row r="275" spans="3:4">
      <c r="C275" s="42"/>
      <c r="D275" s="42"/>
    </row>
    <row r="276" spans="3:4">
      <c r="C276" s="42"/>
      <c r="D276" s="42"/>
    </row>
    <row r="277" spans="3:4">
      <c r="C277" s="42"/>
      <c r="D277" s="42"/>
    </row>
    <row r="278" spans="3:4">
      <c r="C278" s="42"/>
      <c r="D278" s="42"/>
    </row>
    <row r="279" spans="3:4">
      <c r="C279" s="42"/>
      <c r="D279" s="42"/>
    </row>
    <row r="280" spans="3:4">
      <c r="C280" s="42"/>
      <c r="D280" s="42"/>
    </row>
    <row r="281" spans="3:4">
      <c r="C281" s="42"/>
      <c r="D281" s="42"/>
    </row>
    <row r="282" spans="3:4">
      <c r="C282" s="42"/>
      <c r="D282" s="42"/>
    </row>
    <row r="283" spans="3:4">
      <c r="C283" s="42"/>
      <c r="D283" s="42"/>
    </row>
    <row r="284" spans="3:4">
      <c r="C284" s="42"/>
      <c r="D284" s="42"/>
    </row>
    <row r="285" spans="3:4">
      <c r="C285" s="42"/>
      <c r="D285" s="42"/>
    </row>
    <row r="286" spans="3:4">
      <c r="C286" s="42"/>
      <c r="D286" s="42"/>
    </row>
    <row r="287" spans="3:4">
      <c r="C287" s="42"/>
      <c r="D287" s="42"/>
    </row>
    <row r="288" spans="3:4">
      <c r="C288" s="42"/>
      <c r="D288" s="42"/>
    </row>
    <row r="289" spans="3:4">
      <c r="C289" s="42"/>
      <c r="D289" s="42"/>
    </row>
    <row r="290" spans="3:4">
      <c r="C290" s="42"/>
      <c r="D290" s="42"/>
    </row>
    <row r="291" spans="3:4">
      <c r="C291" s="42"/>
      <c r="D291" s="42"/>
    </row>
    <row r="292" spans="3:4">
      <c r="C292" s="42"/>
      <c r="D292" s="42"/>
    </row>
    <row r="293" spans="3:4">
      <c r="C293" s="42"/>
      <c r="D293" s="42"/>
    </row>
    <row r="294" spans="3:4">
      <c r="C294" s="42"/>
      <c r="D294" s="42"/>
    </row>
    <row r="295" spans="3:4">
      <c r="C295" s="42"/>
      <c r="D295" s="42"/>
    </row>
    <row r="296" spans="3:4">
      <c r="C296" s="42"/>
      <c r="D296" s="42"/>
    </row>
    <row r="297" spans="3:4">
      <c r="C297" s="42"/>
      <c r="D297" s="42"/>
    </row>
    <row r="298" spans="3:4">
      <c r="C298" s="42"/>
      <c r="D298" s="42"/>
    </row>
    <row r="299" spans="3:4">
      <c r="C299" s="42"/>
      <c r="D299" s="42"/>
    </row>
    <row r="300" spans="3:4">
      <c r="C300" s="42"/>
      <c r="D300" s="42"/>
    </row>
    <row r="301" spans="3:4">
      <c r="C301" s="42"/>
      <c r="D301" s="42"/>
    </row>
    <row r="302" spans="3:4">
      <c r="C302" s="42"/>
      <c r="D302" s="42"/>
    </row>
    <row r="303" spans="3:4">
      <c r="C303" s="42"/>
      <c r="D303" s="42"/>
    </row>
    <row r="304" spans="3:4">
      <c r="C304" s="42"/>
      <c r="D304" s="42"/>
    </row>
    <row r="305" spans="3:4">
      <c r="C305" s="42"/>
      <c r="D305" s="42"/>
    </row>
    <row r="306" spans="3:4">
      <c r="C306" s="42"/>
      <c r="D306" s="42"/>
    </row>
    <row r="307" spans="3:4">
      <c r="C307" s="42"/>
      <c r="D307" s="42"/>
    </row>
    <row r="308" spans="3:4">
      <c r="C308" s="42"/>
      <c r="D308" s="42"/>
    </row>
    <row r="309" spans="3:4">
      <c r="C309" s="42"/>
      <c r="D309" s="42"/>
    </row>
    <row r="310" spans="3:4">
      <c r="C310" s="42"/>
      <c r="D310" s="42"/>
    </row>
    <row r="311" spans="3:4">
      <c r="C311" s="42"/>
      <c r="D311" s="42"/>
    </row>
    <row r="312" spans="3:4">
      <c r="C312" s="42"/>
      <c r="D312" s="42"/>
    </row>
    <row r="313" spans="3:4">
      <c r="C313" s="42"/>
      <c r="D313" s="42"/>
    </row>
    <row r="314" spans="3:4">
      <c r="C314" s="42"/>
      <c r="D314" s="42"/>
    </row>
    <row r="315" spans="3:4">
      <c r="C315" s="42"/>
      <c r="D315" s="42"/>
    </row>
    <row r="316" spans="3:4">
      <c r="C316" s="42"/>
      <c r="D316" s="42"/>
    </row>
    <row r="317" spans="3:4">
      <c r="C317" s="42"/>
      <c r="D317" s="42"/>
    </row>
    <row r="318" spans="3:4">
      <c r="C318" s="42"/>
      <c r="D318" s="42"/>
    </row>
    <row r="319" spans="3:4">
      <c r="C319" s="42"/>
      <c r="D319" s="42"/>
    </row>
    <row r="320" spans="3:4">
      <c r="C320" s="42"/>
      <c r="D320" s="42"/>
    </row>
    <row r="321" spans="3:4">
      <c r="C321" s="42"/>
      <c r="D321" s="42"/>
    </row>
    <row r="322" spans="3:4">
      <c r="C322" s="42"/>
      <c r="D322" s="42"/>
    </row>
    <row r="323" spans="3:4">
      <c r="C323" s="42"/>
      <c r="D323" s="42"/>
    </row>
    <row r="324" spans="3:4">
      <c r="C324" s="42"/>
      <c r="D324" s="42"/>
    </row>
    <row r="325" spans="3:4">
      <c r="C325" s="42"/>
      <c r="D325" s="42"/>
    </row>
    <row r="326" spans="3:4">
      <c r="C326" s="42"/>
      <c r="D326" s="42"/>
    </row>
    <row r="327" spans="3:4">
      <c r="C327" s="42"/>
      <c r="D327" s="42"/>
    </row>
    <row r="328" spans="3:4">
      <c r="C328" s="42"/>
      <c r="D328" s="42"/>
    </row>
    <row r="329" spans="3:4">
      <c r="C329" s="42"/>
      <c r="D329" s="42"/>
    </row>
    <row r="330" spans="3:4">
      <c r="C330" s="42"/>
      <c r="D330" s="42"/>
    </row>
    <row r="331" spans="3:4">
      <c r="C331" s="42"/>
      <c r="D331" s="42"/>
    </row>
    <row r="332" spans="3:4">
      <c r="C332" s="42"/>
      <c r="D332" s="42"/>
    </row>
    <row r="333" spans="3:4">
      <c r="C333" s="42"/>
      <c r="D333" s="42"/>
    </row>
    <row r="334" spans="3:4">
      <c r="C334" s="42"/>
      <c r="D334" s="42"/>
    </row>
    <row r="335" spans="3:4">
      <c r="C335" s="42"/>
      <c r="D335" s="42"/>
    </row>
    <row r="336" spans="3:4">
      <c r="C336" s="42"/>
      <c r="D336" s="42"/>
    </row>
    <row r="337" spans="3:4">
      <c r="C337" s="42"/>
      <c r="D337" s="42"/>
    </row>
    <row r="338" spans="3:4">
      <c r="C338" s="42"/>
      <c r="D338" s="42"/>
    </row>
    <row r="339" spans="3:4">
      <c r="C339" s="42"/>
      <c r="D339" s="42"/>
    </row>
    <row r="340" spans="3:4">
      <c r="C340" s="42"/>
      <c r="D340" s="42"/>
    </row>
    <row r="341" spans="3:4">
      <c r="C341" s="42"/>
      <c r="D341" s="42"/>
    </row>
    <row r="342" spans="3:4">
      <c r="C342" s="42"/>
      <c r="D342" s="42"/>
    </row>
    <row r="343" spans="3:4">
      <c r="C343" s="42"/>
      <c r="D343" s="42"/>
    </row>
    <row r="344" spans="3:4">
      <c r="C344" s="42"/>
      <c r="D344" s="42"/>
    </row>
    <row r="345" spans="3:4">
      <c r="C345" s="42"/>
      <c r="D345" s="42"/>
    </row>
    <row r="346" spans="3:4">
      <c r="C346" s="42"/>
      <c r="D346" s="42"/>
    </row>
    <row r="347" spans="3:4">
      <c r="C347" s="42"/>
      <c r="D347" s="42"/>
    </row>
    <row r="348" spans="3:4">
      <c r="C348" s="42"/>
      <c r="D348" s="42"/>
    </row>
    <row r="349" spans="3:4">
      <c r="C349" s="42"/>
      <c r="D349" s="42"/>
    </row>
    <row r="350" spans="3:4">
      <c r="C350" s="42"/>
      <c r="D350" s="42"/>
    </row>
    <row r="351" spans="3:4">
      <c r="C351" s="42"/>
      <c r="D351" s="42"/>
    </row>
    <row r="352" spans="3:4">
      <c r="C352" s="42"/>
      <c r="D352" s="42"/>
    </row>
    <row r="353" spans="3:4">
      <c r="C353" s="42"/>
      <c r="D353" s="42"/>
    </row>
    <row r="354" spans="3:4">
      <c r="C354" s="42"/>
      <c r="D354" s="42"/>
    </row>
    <row r="355" spans="3:4">
      <c r="C355" s="42"/>
      <c r="D355" s="42"/>
    </row>
    <row r="356" spans="3:4">
      <c r="C356" s="42"/>
      <c r="D356" s="42"/>
    </row>
    <row r="357" spans="3:4">
      <c r="C357" s="42"/>
      <c r="D357" s="42"/>
    </row>
    <row r="358" spans="3:4">
      <c r="C358" s="42"/>
      <c r="D358" s="42"/>
    </row>
    <row r="359" spans="3:4">
      <c r="C359" s="42"/>
      <c r="D359" s="42"/>
    </row>
    <row r="1697" spans="2:2">
      <c r="B1697">
        <v>1</v>
      </c>
    </row>
    <row r="1713" spans="2:2">
      <c r="B1713">
        <v>1</v>
      </c>
    </row>
    <row r="1796" spans="2:2">
      <c r="B1796">
        <v>1</v>
      </c>
    </row>
    <row r="1812" spans="2:2">
      <c r="B1812">
        <v>2</v>
      </c>
    </row>
  </sheetData>
  <mergeCells count="31">
    <mergeCell ref="F89:F90"/>
    <mergeCell ref="G89:G90"/>
    <mergeCell ref="F91:F92"/>
    <mergeCell ref="G91:G92"/>
    <mergeCell ref="A14:B14"/>
    <mergeCell ref="E76:F76"/>
    <mergeCell ref="F83:F84"/>
    <mergeCell ref="F85:F86"/>
    <mergeCell ref="F87:F88"/>
    <mergeCell ref="G77:G78"/>
    <mergeCell ref="G79:G80"/>
    <mergeCell ref="G81:G82"/>
    <mergeCell ref="G83:G84"/>
    <mergeCell ref="G85:G86"/>
    <mergeCell ref="G87:G88"/>
    <mergeCell ref="F99:F100"/>
    <mergeCell ref="G99:G100"/>
    <mergeCell ref="D78:D79"/>
    <mergeCell ref="D80:D81"/>
    <mergeCell ref="D82:D83"/>
    <mergeCell ref="D84:D85"/>
    <mergeCell ref="D86:D87"/>
    <mergeCell ref="F93:F94"/>
    <mergeCell ref="G93:G94"/>
    <mergeCell ref="F95:F96"/>
    <mergeCell ref="G95:G96"/>
    <mergeCell ref="F97:F98"/>
    <mergeCell ref="G97:G98"/>
    <mergeCell ref="F77:F78"/>
    <mergeCell ref="F79:F80"/>
    <mergeCell ref="F81:F82"/>
  </mergeCells>
  <phoneticPr fontId="11" type="noConversion"/>
  <pageMargins left="0.7" right="0.7" top="0.75" bottom="0.75" header="0.3" footer="0.3"/>
  <pageSetup scale="70" orientation="landscape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autoFill="0" autoPict="0" macro="[0]!graphiteepoxy">
                <anchor moveWithCells="1" sizeWithCells="1">
                  <from>
                    <xdr:col>0</xdr:col>
                    <xdr:colOff>0</xdr:colOff>
                    <xdr:row>1</xdr:row>
                    <xdr:rowOff>25400</xdr:rowOff>
                  </from>
                  <to>
                    <xdr:col>1</xdr:col>
                    <xdr:colOff>787400</xdr:colOff>
                    <xdr:row>3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autoFill="0" autoPict="0" macro="[0]!fiberglass">
                <anchor moveWithCells="1" sizeWithCells="1">
                  <from>
                    <xdr:col>0</xdr:col>
                    <xdr:colOff>0</xdr:colOff>
                    <xdr:row>3</xdr:row>
                    <xdr:rowOff>63500</xdr:rowOff>
                  </from>
                  <to>
                    <xdr:col>1</xdr:col>
                    <xdr:colOff>787400</xdr:colOff>
                    <xdr:row>5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autoFill="0" autoPict="0" macro="[0]!kevlarepoxy">
                <anchor moveWithCells="1" sizeWithCells="1">
                  <from>
                    <xdr:col>0</xdr:col>
                    <xdr:colOff>0</xdr:colOff>
                    <xdr:row>5</xdr:row>
                    <xdr:rowOff>101600</xdr:rowOff>
                  </from>
                  <to>
                    <xdr:col>1</xdr:col>
                    <xdr:colOff>787400</xdr:colOff>
                    <xdr:row>7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6" name="Button 5">
              <controlPr defaultSize="0" autoFill="0" autoPict="0" macro="[0]!graphiteepoxy2">
                <anchor moveWithCells="1" sizeWithCells="1">
                  <from>
                    <xdr:col>0</xdr:col>
                    <xdr:colOff>0</xdr:colOff>
                    <xdr:row>7</xdr:row>
                    <xdr:rowOff>139700</xdr:rowOff>
                  </from>
                  <to>
                    <xdr:col>1</xdr:col>
                    <xdr:colOff>787400</xdr:colOff>
                    <xdr:row>9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7" name="Button 6">
              <controlPr defaultSize="0" autoFill="0" autoPict="0" macro="[0]!graphitethermoplastic">
                <anchor moveWithCells="1" sizeWithCells="1">
                  <from>
                    <xdr:col>0</xdr:col>
                    <xdr:colOff>0</xdr:colOff>
                    <xdr:row>9</xdr:row>
                    <xdr:rowOff>177800</xdr:rowOff>
                  </from>
                  <to>
                    <xdr:col>1</xdr:col>
                    <xdr:colOff>787400</xdr:colOff>
                    <xdr:row>11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8" name="Button 7">
              <controlPr defaultSize="0" autoFill="0" autoPict="0" macro="[0]!Numberofplys">
                <anchor moveWithCells="1" sizeWithCells="1">
                  <from>
                    <xdr:col>5</xdr:col>
                    <xdr:colOff>101600</xdr:colOff>
                    <xdr:row>1</xdr:row>
                    <xdr:rowOff>38100</xdr:rowOff>
                  </from>
                  <to>
                    <xdr:col>7</xdr:col>
                    <xdr:colOff>355600</xdr:colOff>
                    <xdr:row>3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9" name="Button 11">
              <controlPr defaultSize="0" autoFill="0" autoPict="0" macro="[0]!Reset">
                <anchor moveWithCells="1" sizeWithCells="1">
                  <from>
                    <xdr:col>15</xdr:col>
                    <xdr:colOff>152400</xdr:colOff>
                    <xdr:row>1</xdr:row>
                    <xdr:rowOff>50800</xdr:rowOff>
                  </from>
                  <to>
                    <xdr:col>17</xdr:col>
                    <xdr:colOff>863600</xdr:colOff>
                    <xdr:row>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10" name="Button 13">
              <controlPr defaultSize="0" autoFill="0" autoPict="0" macro="[0]!offaxis">
                <anchor moveWithCells="1" sizeWithCells="1">
                  <from>
                    <xdr:col>9</xdr:col>
                    <xdr:colOff>863600</xdr:colOff>
                    <xdr:row>1</xdr:row>
                    <xdr:rowOff>50800</xdr:rowOff>
                  </from>
                  <to>
                    <xdr:col>12</xdr:col>
                    <xdr:colOff>558800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1" name="Button 15">
              <controlPr defaultSize="0" autoFill="0" autoPict="0" macro="[0]!load">
                <anchor moveWithCells="1" sizeWithCells="1">
                  <from>
                    <xdr:col>20</xdr:col>
                    <xdr:colOff>215900</xdr:colOff>
                    <xdr:row>4</xdr:row>
                    <xdr:rowOff>63500</xdr:rowOff>
                  </from>
                  <to>
                    <xdr:col>22</xdr:col>
                    <xdr:colOff>546100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2" name="Button 16">
              <controlPr defaultSize="0" autoFill="0" autoPict="0" macro="[0]!mandnangle">
                <anchor moveWithCells="1" sizeWithCells="1">
                  <from>
                    <xdr:col>7</xdr:col>
                    <xdr:colOff>520700</xdr:colOff>
                    <xdr:row>1</xdr:row>
                    <xdr:rowOff>38100</xdr:rowOff>
                  </from>
                  <to>
                    <xdr:col>9</xdr:col>
                    <xdr:colOff>660400</xdr:colOff>
                    <xdr:row>3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13" name="Button 18">
              <controlPr defaultSize="0" autoFill="0" autoPict="0" macro="[0]!transformation">
                <anchor moveWithCells="1" sizeWithCells="1">
                  <from>
                    <xdr:col>20</xdr:col>
                    <xdr:colOff>228600</xdr:colOff>
                    <xdr:row>7</xdr:row>
                    <xdr:rowOff>38100</xdr:rowOff>
                  </from>
                  <to>
                    <xdr:col>22</xdr:col>
                    <xdr:colOff>571500</xdr:colOff>
                    <xdr:row>9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14" name="Button 23">
              <controlPr defaultSize="0" autoFill="0" autoPict="0" macro="[0]!MatriceAeta">
                <anchor moveWithCells="1" sizeWithCells="1">
                  <from>
                    <xdr:col>12</xdr:col>
                    <xdr:colOff>762000</xdr:colOff>
                    <xdr:row>1</xdr:row>
                    <xdr:rowOff>50800</xdr:rowOff>
                  </from>
                  <to>
                    <xdr:col>14</xdr:col>
                    <xdr:colOff>850900</xdr:colOff>
                    <xdr:row>3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2" r:id="rId15" name="Button 26">
              <controlPr defaultSize="0" autoFill="0" autoPict="0" macro="[0]!Inplainstrain">
                <anchor moveWithCells="1" sizeWithCells="1">
                  <from>
                    <xdr:col>24</xdr:col>
                    <xdr:colOff>228600</xdr:colOff>
                    <xdr:row>4</xdr:row>
                    <xdr:rowOff>50800</xdr:rowOff>
                  </from>
                  <to>
                    <xdr:col>26</xdr:col>
                    <xdr:colOff>584200</xdr:colOff>
                    <xdr:row>6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16" name="Button 28">
              <controlPr defaultSize="0" autoFill="0" autoPict="0" macro="[0]!matricesDetd">
                <anchor moveWithCells="1" sizeWithCells="1">
                  <from>
                    <xdr:col>12</xdr:col>
                    <xdr:colOff>774700</xdr:colOff>
                    <xdr:row>6</xdr:row>
                    <xdr:rowOff>203200</xdr:rowOff>
                  </from>
                  <to>
                    <xdr:col>15</xdr:col>
                    <xdr:colOff>0</xdr:colOff>
                    <xdr:row>9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17" name="Button 31">
              <controlPr defaultSize="0" autoFill="0" autoPict="0" macro="[0]!z">
                <anchor moveWithCells="1" sizeWithCells="1">
                  <from>
                    <xdr:col>12</xdr:col>
                    <xdr:colOff>177800</xdr:colOff>
                    <xdr:row>45</xdr:row>
                    <xdr:rowOff>25400</xdr:rowOff>
                  </from>
                  <to>
                    <xdr:col>14</xdr:col>
                    <xdr:colOff>266700</xdr:colOff>
                    <xdr:row>47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9" r:id="rId18" name="Button 33">
              <controlPr defaultSize="0" autoFill="0" autoPict="0" macro="[0]!maxcriterion">
                <anchor moveWithCells="1" sizeWithCells="1">
                  <from>
                    <xdr:col>9</xdr:col>
                    <xdr:colOff>1016000</xdr:colOff>
                    <xdr:row>100</xdr:row>
                    <xdr:rowOff>101600</xdr:rowOff>
                  </from>
                  <to>
                    <xdr:col>11</xdr:col>
                    <xdr:colOff>12700</xdr:colOff>
                    <xdr:row>102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19" name="Button 34">
              <controlPr defaultSize="0" autoFill="0" autoPict="0" macro="[0]!tsaiwu">
                <anchor moveWithCells="1" sizeWithCells="1">
                  <from>
                    <xdr:col>15</xdr:col>
                    <xdr:colOff>25400</xdr:colOff>
                    <xdr:row>100</xdr:row>
                    <xdr:rowOff>88900</xdr:rowOff>
                  </from>
                  <to>
                    <xdr:col>16</xdr:col>
                    <xdr:colOff>241300</xdr:colOff>
                    <xdr:row>102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20" name="Button 36">
              <controlPr defaultSize="0" autoFill="0" autoPict="0" macro="[0]!Hashin">
                <anchor moveWithCells="1" sizeWithCells="1">
                  <from>
                    <xdr:col>17</xdr:col>
                    <xdr:colOff>12700</xdr:colOff>
                    <xdr:row>100</xdr:row>
                    <xdr:rowOff>63500</xdr:rowOff>
                  </from>
                  <to>
                    <xdr:col>18</xdr:col>
                    <xdr:colOff>292100</xdr:colOff>
                    <xdr:row>102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le6"/>
  <dimension ref="B2:O136"/>
  <sheetViews>
    <sheetView showGridLines="0" workbookViewId="0">
      <selection activeCell="R113" sqref="R113"/>
    </sheetView>
  </sheetViews>
  <sheetFormatPr baseColWidth="10" defaultRowHeight="16"/>
  <sheetData>
    <row r="2" spans="2:12" ht="17" thickBot="1">
      <c r="E2" s="278" t="s">
        <v>128</v>
      </c>
      <c r="F2" s="278"/>
      <c r="G2" s="278"/>
    </row>
    <row r="3" spans="2:12" ht="19">
      <c r="B3" s="263" t="s">
        <v>97</v>
      </c>
      <c r="C3" s="264"/>
      <c r="D3" s="147" t="s">
        <v>100</v>
      </c>
      <c r="E3" s="148" t="s">
        <v>115</v>
      </c>
      <c r="F3" s="146" t="s">
        <v>116</v>
      </c>
      <c r="G3" s="147" t="s">
        <v>117</v>
      </c>
      <c r="H3" s="148" t="s">
        <v>107</v>
      </c>
      <c r="I3" s="146" t="s">
        <v>108</v>
      </c>
      <c r="J3" s="146" t="s">
        <v>109</v>
      </c>
      <c r="K3" s="146" t="s">
        <v>110</v>
      </c>
      <c r="L3" s="147" t="s">
        <v>111</v>
      </c>
    </row>
    <row r="4" spans="2:12">
      <c r="B4" s="144" t="s">
        <v>96</v>
      </c>
      <c r="C4" s="257">
        <v>12</v>
      </c>
      <c r="D4" s="268">
        <v>0</v>
      </c>
      <c r="E4" s="142">
        <v>-0.76842023601756004</v>
      </c>
      <c r="F4" s="113">
        <v>-5.0890483176994203E-3</v>
      </c>
      <c r="G4" s="149">
        <v>8.0788875763414876E-4</v>
      </c>
      <c r="H4" s="171" t="s">
        <v>112</v>
      </c>
      <c r="I4" s="164">
        <v>1.9100000000000008</v>
      </c>
      <c r="J4" s="163" t="s">
        <v>112</v>
      </c>
      <c r="K4" s="164">
        <v>48.329999999998954</v>
      </c>
      <c r="L4" s="165">
        <v>84.109999999999502</v>
      </c>
    </row>
    <row r="5" spans="2:12">
      <c r="B5" s="144" t="s">
        <v>95</v>
      </c>
      <c r="C5" s="258"/>
      <c r="D5" s="259"/>
      <c r="E5" s="142">
        <v>-0.75136915289837647</v>
      </c>
      <c r="F5" s="113">
        <v>-4.9758793479063815E-3</v>
      </c>
      <c r="G5" s="149">
        <v>7.9032595923785715E-4</v>
      </c>
      <c r="H5" s="171" t="s">
        <v>112</v>
      </c>
      <c r="I5" s="164">
        <v>1.9100000000000008</v>
      </c>
      <c r="J5" s="163" t="s">
        <v>112</v>
      </c>
      <c r="K5" s="164">
        <v>49.429999999998735</v>
      </c>
      <c r="L5" s="165">
        <v>86.009999999999394</v>
      </c>
    </row>
    <row r="6" spans="2:12">
      <c r="B6" s="144" t="s">
        <v>96</v>
      </c>
      <c r="C6" s="257">
        <v>11</v>
      </c>
      <c r="D6" s="268">
        <v>0</v>
      </c>
      <c r="E6" s="142">
        <v>-0.75136911834336895</v>
      </c>
      <c r="F6" s="113">
        <v>-4.9758791185629102E-3</v>
      </c>
      <c r="G6" s="149">
        <v>7.9032592364582891E-4</v>
      </c>
      <c r="H6" s="171" t="s">
        <v>112</v>
      </c>
      <c r="I6" s="164">
        <v>1.9100000000000008</v>
      </c>
      <c r="J6" s="163" t="s">
        <v>112</v>
      </c>
      <c r="K6" s="164">
        <v>49.429999999998735</v>
      </c>
      <c r="L6" s="165">
        <v>86.009999999999394</v>
      </c>
    </row>
    <row r="7" spans="2:12">
      <c r="B7" s="144" t="s">
        <v>95</v>
      </c>
      <c r="C7" s="258"/>
      <c r="D7" s="259"/>
      <c r="E7" s="142">
        <v>-0.73431803522418526</v>
      </c>
      <c r="F7" s="113">
        <v>-4.8627101487698724E-3</v>
      </c>
      <c r="G7" s="149">
        <v>7.7276312524953718E-4</v>
      </c>
      <c r="H7" s="171" t="s">
        <v>112</v>
      </c>
      <c r="I7" s="164">
        <v>2.0100000000000007</v>
      </c>
      <c r="J7" s="163" t="s">
        <v>112</v>
      </c>
      <c r="K7" s="164">
        <v>50.579999999998506</v>
      </c>
      <c r="L7" s="165">
        <v>87.909999999999286</v>
      </c>
    </row>
    <row r="8" spans="2:12">
      <c r="B8" s="144" t="s">
        <v>96</v>
      </c>
      <c r="C8" s="257">
        <v>10</v>
      </c>
      <c r="D8" s="268">
        <v>25</v>
      </c>
      <c r="E8" s="142">
        <v>-0.57631671399472895</v>
      </c>
      <c r="F8" s="113">
        <v>-1.1441221047765279E-2</v>
      </c>
      <c r="G8" s="149">
        <v>2.6384909910334972E-2</v>
      </c>
      <c r="H8" s="171" t="s">
        <v>112</v>
      </c>
      <c r="I8" s="164">
        <v>2.5100000000000011</v>
      </c>
      <c r="J8" s="163" t="s">
        <v>112</v>
      </c>
      <c r="K8" s="164">
        <v>21.500000000000561</v>
      </c>
      <c r="L8" s="165">
        <v>2.5100000000000011</v>
      </c>
    </row>
    <row r="9" spans="2:12">
      <c r="B9" s="144" t="s">
        <v>95</v>
      </c>
      <c r="C9" s="258"/>
      <c r="D9" s="259"/>
      <c r="E9" s="142">
        <v>-0.56293002272293635</v>
      </c>
      <c r="F9" s="113">
        <v>-1.1175482236182324E-2</v>
      </c>
      <c r="G9" s="149">
        <v>2.5772627738087566E-2</v>
      </c>
      <c r="H9" s="171" t="s">
        <v>112</v>
      </c>
      <c r="I9" s="164">
        <v>2.6100000000000012</v>
      </c>
      <c r="J9" s="163" t="s">
        <v>112</v>
      </c>
      <c r="K9" s="164">
        <v>22.010000000000641</v>
      </c>
      <c r="L9" s="165">
        <v>2.6100000000000012</v>
      </c>
    </row>
    <row r="10" spans="2:12">
      <c r="B10" s="144" t="s">
        <v>96</v>
      </c>
      <c r="C10" s="257">
        <v>9</v>
      </c>
      <c r="D10" s="268">
        <v>-25</v>
      </c>
      <c r="E10" s="142">
        <v>-0.57736582770796774</v>
      </c>
      <c r="F10" s="113">
        <v>-1.0574434453396547E-2</v>
      </c>
      <c r="G10" s="149">
        <v>-2.4801759678799034E-2</v>
      </c>
      <c r="H10" s="171" t="s">
        <v>112</v>
      </c>
      <c r="I10" s="164">
        <v>2.5100000000000011</v>
      </c>
      <c r="J10" s="163" t="s">
        <v>112</v>
      </c>
      <c r="K10" s="164">
        <v>23.260000000000836</v>
      </c>
      <c r="L10" s="165">
        <v>2.7100000000000013</v>
      </c>
    </row>
    <row r="11" spans="2:12">
      <c r="B11" s="144" t="s">
        <v>95</v>
      </c>
      <c r="C11" s="258"/>
      <c r="D11" s="259"/>
      <c r="E11" s="142">
        <v>-0.56364341940584883</v>
      </c>
      <c r="F11" s="113">
        <v>-1.0322673484887211E-2</v>
      </c>
      <c r="G11" s="149">
        <v>-2.4212055804952747E-2</v>
      </c>
      <c r="H11" s="171" t="s">
        <v>112</v>
      </c>
      <c r="I11" s="164">
        <v>2.6100000000000012</v>
      </c>
      <c r="J11" s="163" t="s">
        <v>112</v>
      </c>
      <c r="K11" s="164">
        <v>23.830000000000926</v>
      </c>
      <c r="L11" s="165">
        <v>2.7100000000000013</v>
      </c>
    </row>
    <row r="12" spans="2:12">
      <c r="B12" s="144" t="s">
        <v>96</v>
      </c>
      <c r="C12" s="257">
        <v>8</v>
      </c>
      <c r="D12" s="268">
        <v>90</v>
      </c>
      <c r="E12" s="142">
        <v>0.10391359119688617</v>
      </c>
      <c r="F12" s="113">
        <v>-3.8116936996742984E-2</v>
      </c>
      <c r="G12" s="149">
        <v>-7.376375525339102E-4</v>
      </c>
      <c r="H12" s="196">
        <v>14.409999999999966</v>
      </c>
      <c r="I12" s="163" t="s">
        <v>112</v>
      </c>
      <c r="J12" s="163" t="s">
        <v>112</v>
      </c>
      <c r="K12" s="164">
        <v>6.4499999999999069</v>
      </c>
      <c r="L12" s="165">
        <v>92.109999999999047</v>
      </c>
    </row>
    <row r="13" spans="2:12">
      <c r="B13" s="144" t="s">
        <v>95</v>
      </c>
      <c r="C13" s="258"/>
      <c r="D13" s="259"/>
      <c r="E13" s="142">
        <v>0.10138789911429325</v>
      </c>
      <c r="F13" s="113">
        <v>-3.7188673566618612E-2</v>
      </c>
      <c r="G13" s="149">
        <v>-7.2007475413761847E-4</v>
      </c>
      <c r="H13" s="196">
        <v>14.709999999999965</v>
      </c>
      <c r="I13" s="163" t="s">
        <v>112</v>
      </c>
      <c r="J13" s="163" t="s">
        <v>112</v>
      </c>
      <c r="K13" s="164">
        <v>6.6099999999999035</v>
      </c>
      <c r="L13" s="165">
        <v>94.409999999998917</v>
      </c>
    </row>
    <row r="14" spans="2:12">
      <c r="B14" s="144" t="s">
        <v>96</v>
      </c>
      <c r="C14" s="257">
        <v>7</v>
      </c>
      <c r="D14" s="268">
        <v>90</v>
      </c>
      <c r="E14" s="142">
        <v>0.10138789399583195</v>
      </c>
      <c r="F14" s="113">
        <v>-3.7188671685439004E-2</v>
      </c>
      <c r="G14" s="149">
        <v>-7.2007471854559034E-4</v>
      </c>
      <c r="H14" s="196">
        <v>14.709999999999965</v>
      </c>
      <c r="I14" s="163" t="s">
        <v>112</v>
      </c>
      <c r="J14" s="163" t="s">
        <v>112</v>
      </c>
      <c r="K14" s="164">
        <v>6.6099999999999035</v>
      </c>
      <c r="L14" s="165">
        <v>94.409999999998917</v>
      </c>
    </row>
    <row r="15" spans="2:12" ht="17" thickBot="1">
      <c r="B15" s="145" t="s">
        <v>95</v>
      </c>
      <c r="C15" s="267"/>
      <c r="D15" s="271"/>
      <c r="E15" s="143">
        <v>9.8862201913239009E-2</v>
      </c>
      <c r="F15" s="141">
        <v>-3.6260408255314631E-2</v>
      </c>
      <c r="G15" s="150">
        <v>-7.0251192014929862E-4</v>
      </c>
      <c r="H15" s="197">
        <v>15.109999999999964</v>
      </c>
      <c r="I15" s="174" t="s">
        <v>112</v>
      </c>
      <c r="J15" s="174" t="s">
        <v>112</v>
      </c>
      <c r="K15" s="173">
        <v>6.7799999999998999</v>
      </c>
      <c r="L15" s="175">
        <v>96.709999999998786</v>
      </c>
    </row>
    <row r="16" spans="2:12">
      <c r="B16" s="151" t="s">
        <v>96</v>
      </c>
      <c r="C16" s="258">
        <v>6</v>
      </c>
      <c r="D16" s="259">
        <v>90</v>
      </c>
      <c r="E16" s="152">
        <v>-0.10319316017790631</v>
      </c>
      <c r="F16" s="153">
        <v>3.8000664494770658E-2</v>
      </c>
      <c r="G16" s="154">
        <v>7.0251192014929862E-4</v>
      </c>
      <c r="H16" s="180" t="s">
        <v>112</v>
      </c>
      <c r="I16" s="181">
        <v>14.509999999999966</v>
      </c>
      <c r="J16" s="181">
        <v>1.0500000000000007</v>
      </c>
      <c r="K16" s="182" t="s">
        <v>112</v>
      </c>
      <c r="L16" s="183">
        <v>96.709999999998786</v>
      </c>
    </row>
    <row r="17" spans="2:12">
      <c r="B17" s="144" t="s">
        <v>95</v>
      </c>
      <c r="C17" s="252"/>
      <c r="D17" s="254"/>
      <c r="E17" s="142">
        <v>-0.10571885226049925</v>
      </c>
      <c r="F17" s="113">
        <v>3.8928927924895031E-2</v>
      </c>
      <c r="G17" s="149">
        <v>7.2007471854559023E-4</v>
      </c>
      <c r="H17" s="171" t="s">
        <v>112</v>
      </c>
      <c r="I17" s="164">
        <v>14.109999999999967</v>
      </c>
      <c r="J17" s="164">
        <v>1.0200000000000007</v>
      </c>
      <c r="K17" s="163" t="s">
        <v>112</v>
      </c>
      <c r="L17" s="165">
        <v>94.409999999998917</v>
      </c>
    </row>
    <row r="18" spans="2:12">
      <c r="B18" s="144" t="s">
        <v>96</v>
      </c>
      <c r="C18" s="252">
        <v>5</v>
      </c>
      <c r="D18" s="254">
        <v>90</v>
      </c>
      <c r="E18" s="142">
        <v>-0.10571885737896053</v>
      </c>
      <c r="F18" s="113">
        <v>3.8928929806074646E-2</v>
      </c>
      <c r="G18" s="149">
        <v>7.2007475413761836E-4</v>
      </c>
      <c r="H18" s="171" t="s">
        <v>112</v>
      </c>
      <c r="I18" s="164">
        <v>14.109999999999967</v>
      </c>
      <c r="J18" s="164">
        <v>1.0200000000000007</v>
      </c>
      <c r="K18" s="163" t="s">
        <v>112</v>
      </c>
      <c r="L18" s="165">
        <v>94.409999999998917</v>
      </c>
    </row>
    <row r="19" spans="2:12">
      <c r="B19" s="144" t="s">
        <v>95</v>
      </c>
      <c r="C19" s="252"/>
      <c r="D19" s="254"/>
      <c r="E19" s="142">
        <v>-0.10824454946155347</v>
      </c>
      <c r="F19" s="113">
        <v>3.9857193236199011E-2</v>
      </c>
      <c r="G19" s="149">
        <v>7.3763755253391009E-4</v>
      </c>
      <c r="H19" s="171" t="s">
        <v>112</v>
      </c>
      <c r="I19" s="164">
        <v>13.809999999999969</v>
      </c>
      <c r="J19" s="205">
        <v>1.0000000000000007</v>
      </c>
      <c r="K19" s="163" t="s">
        <v>112</v>
      </c>
      <c r="L19" s="165">
        <v>92.109999999999047</v>
      </c>
    </row>
    <row r="20" spans="2:12">
      <c r="B20" s="144" t="s">
        <v>96</v>
      </c>
      <c r="C20" s="252">
        <v>4</v>
      </c>
      <c r="D20" s="254">
        <v>-25</v>
      </c>
      <c r="E20" s="142">
        <v>0.58903886243167614</v>
      </c>
      <c r="F20" s="113">
        <v>1.0825247584780781E-2</v>
      </c>
      <c r="G20" s="149">
        <v>2.5323068930303179E-2</v>
      </c>
      <c r="H20" s="196">
        <v>2.5100000000000011</v>
      </c>
      <c r="I20" s="163" t="s">
        <v>112</v>
      </c>
      <c r="J20" s="164">
        <v>3.6899999999999653</v>
      </c>
      <c r="K20" s="163" t="s">
        <v>112</v>
      </c>
      <c r="L20" s="165">
        <v>2.6100000000000012</v>
      </c>
    </row>
    <row r="21" spans="2:12">
      <c r="B21" s="144" t="s">
        <v>95</v>
      </c>
      <c r="C21" s="252"/>
      <c r="D21" s="254"/>
      <c r="E21" s="142">
        <v>0.60276127073379515</v>
      </c>
      <c r="F21" s="113">
        <v>1.1077008553290116E-2</v>
      </c>
      <c r="G21" s="149">
        <v>2.5912772804149466E-2</v>
      </c>
      <c r="H21" s="196">
        <v>2.410000000000001</v>
      </c>
      <c r="I21" s="163" t="s">
        <v>112</v>
      </c>
      <c r="J21" s="164">
        <v>3.609999999999967</v>
      </c>
      <c r="K21" s="163" t="s">
        <v>112</v>
      </c>
      <c r="L21" s="165">
        <v>2.6100000000000012</v>
      </c>
    </row>
    <row r="22" spans="2:12">
      <c r="B22" s="144" t="s">
        <v>96</v>
      </c>
      <c r="C22" s="252">
        <v>3</v>
      </c>
      <c r="D22" s="254">
        <v>25</v>
      </c>
      <c r="E22" s="142">
        <v>0.58832546574876377</v>
      </c>
      <c r="F22" s="113">
        <v>1.1678056336075895E-2</v>
      </c>
      <c r="G22" s="149">
        <v>-2.6883640863437998E-2</v>
      </c>
      <c r="H22" s="196">
        <v>2.5100000000000011</v>
      </c>
      <c r="I22" s="163" t="s">
        <v>112</v>
      </c>
      <c r="J22" s="164">
        <v>3.4199999999999711</v>
      </c>
      <c r="K22" s="163" t="s">
        <v>112</v>
      </c>
      <c r="L22" s="165">
        <v>2.5100000000000011</v>
      </c>
    </row>
    <row r="23" spans="2:12">
      <c r="B23" s="144" t="s">
        <v>95</v>
      </c>
      <c r="C23" s="252"/>
      <c r="D23" s="254"/>
      <c r="E23" s="142">
        <v>0.60171215702055625</v>
      </c>
      <c r="F23" s="113">
        <v>1.1943795147658847E-2</v>
      </c>
      <c r="G23" s="149">
        <v>-2.7495923035685411E-2</v>
      </c>
      <c r="H23" s="196">
        <v>2.410000000000001</v>
      </c>
      <c r="I23" s="163" t="s">
        <v>112</v>
      </c>
      <c r="J23" s="164">
        <v>3.3399999999999728</v>
      </c>
      <c r="K23" s="163" t="s">
        <v>112</v>
      </c>
      <c r="L23" s="165">
        <v>2.410000000000001</v>
      </c>
    </row>
    <row r="24" spans="2:12">
      <c r="B24" s="144" t="s">
        <v>96</v>
      </c>
      <c r="C24" s="252">
        <v>2</v>
      </c>
      <c r="D24" s="254">
        <v>0</v>
      </c>
      <c r="E24" s="142">
        <v>0.7661772711333914</v>
      </c>
      <c r="F24" s="113">
        <v>5.0961591390543274E-3</v>
      </c>
      <c r="G24" s="149">
        <v>-7.7276312524953718E-4</v>
      </c>
      <c r="H24" s="196">
        <v>1.9100000000000008</v>
      </c>
      <c r="I24" s="163" t="s">
        <v>112</v>
      </c>
      <c r="J24" s="164">
        <v>7.8399999999998773</v>
      </c>
      <c r="K24" s="163" t="s">
        <v>112</v>
      </c>
      <c r="L24" s="165">
        <v>87.909999999999286</v>
      </c>
    </row>
    <row r="25" spans="2:12">
      <c r="B25" s="144" t="s">
        <v>95</v>
      </c>
      <c r="C25" s="252"/>
      <c r="D25" s="254"/>
      <c r="E25" s="142">
        <v>0.78322835425257498</v>
      </c>
      <c r="F25" s="113">
        <v>5.2093281088473643E-3</v>
      </c>
      <c r="G25" s="149">
        <v>-7.9032592364582891E-4</v>
      </c>
      <c r="H25" s="196">
        <v>1.9100000000000008</v>
      </c>
      <c r="I25" s="163" t="s">
        <v>112</v>
      </c>
      <c r="J25" s="164">
        <v>7.6699999999998809</v>
      </c>
      <c r="K25" s="163" t="s">
        <v>112</v>
      </c>
      <c r="L25" s="165">
        <v>86.009999999999394</v>
      </c>
    </row>
    <row r="26" spans="2:12">
      <c r="B26" s="144" t="s">
        <v>96</v>
      </c>
      <c r="C26" s="252">
        <v>1</v>
      </c>
      <c r="D26" s="254">
        <v>0</v>
      </c>
      <c r="E26" s="142">
        <v>0.78322838880758261</v>
      </c>
      <c r="F26" s="113">
        <v>5.2093283381908374E-3</v>
      </c>
      <c r="G26" s="149">
        <v>-7.9032595923785715E-4</v>
      </c>
      <c r="H26" s="196">
        <v>1.9100000000000008</v>
      </c>
      <c r="I26" s="163" t="s">
        <v>112</v>
      </c>
      <c r="J26" s="164">
        <v>7.6699999999998809</v>
      </c>
      <c r="K26" s="163" t="s">
        <v>112</v>
      </c>
      <c r="L26" s="165">
        <v>86.009999999999394</v>
      </c>
    </row>
    <row r="27" spans="2:12" ht="17" thickBot="1">
      <c r="B27" s="145" t="s">
        <v>95</v>
      </c>
      <c r="C27" s="253"/>
      <c r="D27" s="255"/>
      <c r="E27" s="143">
        <v>0.80027947192676629</v>
      </c>
      <c r="F27" s="141">
        <v>5.3224973079838735E-3</v>
      </c>
      <c r="G27" s="150">
        <v>-8.0788875763414876E-4</v>
      </c>
      <c r="H27" s="198">
        <v>1.8100000000000007</v>
      </c>
      <c r="I27" s="189" t="s">
        <v>112</v>
      </c>
      <c r="J27" s="199">
        <v>7.5099999999998843</v>
      </c>
      <c r="K27" s="189" t="s">
        <v>112</v>
      </c>
      <c r="L27" s="190">
        <v>84.109999999999502</v>
      </c>
    </row>
    <row r="29" spans="2:12" ht="17" thickBot="1"/>
    <row r="30" spans="2:12" ht="19">
      <c r="B30" s="263" t="s">
        <v>97</v>
      </c>
      <c r="C30" s="264"/>
      <c r="D30" s="147" t="s">
        <v>100</v>
      </c>
      <c r="E30" s="148" t="s">
        <v>115</v>
      </c>
      <c r="F30" s="146" t="s">
        <v>116</v>
      </c>
      <c r="G30" s="147" t="s">
        <v>117</v>
      </c>
      <c r="H30" s="157" t="s">
        <v>120</v>
      </c>
    </row>
    <row r="31" spans="2:12">
      <c r="B31" s="144" t="s">
        <v>96</v>
      </c>
      <c r="C31" s="257">
        <v>12</v>
      </c>
      <c r="D31" s="268">
        <v>0</v>
      </c>
      <c r="E31" s="142">
        <v>-0.74622759382210713</v>
      </c>
      <c r="F31" s="113">
        <v>-4.9420721930005206E-3</v>
      </c>
      <c r="G31" s="149">
        <v>7.8455623033785551E-4</v>
      </c>
      <c r="H31" s="166">
        <v>2.3499999999999939</v>
      </c>
    </row>
    <row r="32" spans="2:12">
      <c r="B32" s="144" t="s">
        <v>95</v>
      </c>
      <c r="C32" s="258"/>
      <c r="D32" s="259"/>
      <c r="E32" s="142">
        <v>-0.7296689607569069</v>
      </c>
      <c r="F32" s="113">
        <v>-4.8321716411076424E-3</v>
      </c>
      <c r="G32" s="149">
        <v>7.6750066077611379E-4</v>
      </c>
      <c r="H32" s="166">
        <v>2.3999999999999928</v>
      </c>
    </row>
    <row r="33" spans="2:8">
      <c r="B33" s="144" t="s">
        <v>96</v>
      </c>
      <c r="C33" s="257">
        <v>11</v>
      </c>
      <c r="D33" s="268">
        <v>0</v>
      </c>
      <c r="E33" s="142">
        <v>-0.72966892719987786</v>
      </c>
      <c r="F33" s="113">
        <v>-4.8321714183878067E-3</v>
      </c>
      <c r="G33" s="149">
        <v>7.6750062621201416E-4</v>
      </c>
      <c r="H33" s="166">
        <v>2.3999999999999928</v>
      </c>
    </row>
    <row r="34" spans="2:8">
      <c r="B34" s="144" t="s">
        <v>95</v>
      </c>
      <c r="C34" s="258"/>
      <c r="D34" s="259"/>
      <c r="E34" s="142">
        <v>-0.71311029413467786</v>
      </c>
      <c r="F34" s="113">
        <v>-4.7222708664949294E-3</v>
      </c>
      <c r="G34" s="149">
        <v>7.5044505665027245E-4</v>
      </c>
      <c r="H34" s="166">
        <v>2.4499999999999917</v>
      </c>
    </row>
    <row r="35" spans="2:8">
      <c r="B35" s="144" t="s">
        <v>96</v>
      </c>
      <c r="C35" s="257">
        <v>10</v>
      </c>
      <c r="D35" s="268">
        <v>25</v>
      </c>
      <c r="E35" s="142">
        <v>-0.55967218795877993</v>
      </c>
      <c r="F35" s="113">
        <v>-1.1110788670934509E-2</v>
      </c>
      <c r="G35" s="149">
        <v>2.562289085155273E-2</v>
      </c>
      <c r="H35" s="166">
        <v>2.4999999999999907</v>
      </c>
    </row>
    <row r="36" spans="2:8">
      <c r="B36" s="144" t="s">
        <v>95</v>
      </c>
      <c r="C36" s="258"/>
      <c r="D36" s="259"/>
      <c r="E36" s="142">
        <v>-0.54667211592949416</v>
      </c>
      <c r="F36" s="113">
        <v>-1.0852724626473086E-2</v>
      </c>
      <c r="G36" s="149">
        <v>2.5028291918937014E-2</v>
      </c>
      <c r="H36" s="166">
        <v>2.5599999999999894</v>
      </c>
    </row>
    <row r="37" spans="2:8">
      <c r="B37" s="144" t="s">
        <v>96</v>
      </c>
      <c r="C37" s="257">
        <v>9</v>
      </c>
      <c r="D37" s="268">
        <v>-25</v>
      </c>
      <c r="E37" s="142">
        <v>-0.56069100235900116</v>
      </c>
      <c r="F37" s="113">
        <v>-1.0269035624417585E-2</v>
      </c>
      <c r="G37" s="149">
        <v>-2.4085463370386063E-2</v>
      </c>
      <c r="H37" s="166">
        <v>2.5499999999999896</v>
      </c>
    </row>
    <row r="38" spans="2:8">
      <c r="B38" s="144" t="s">
        <v>95</v>
      </c>
      <c r="C38" s="258"/>
      <c r="D38" s="259"/>
      <c r="E38" s="142">
        <v>-0.54736490909809865</v>
      </c>
      <c r="F38" s="113">
        <v>-1.0024545730811045E-2</v>
      </c>
      <c r="G38" s="149">
        <v>-2.3512790655351216E-2</v>
      </c>
      <c r="H38" s="166">
        <v>2.6099999999999883</v>
      </c>
    </row>
    <row r="39" spans="2:8">
      <c r="B39" s="144" t="s">
        <v>96</v>
      </c>
      <c r="C39" s="257">
        <v>8</v>
      </c>
      <c r="D39" s="268">
        <v>90</v>
      </c>
      <c r="E39" s="142">
        <v>0.10091247664968367</v>
      </c>
      <c r="F39" s="113">
        <v>-3.7016086830772059E-2</v>
      </c>
      <c r="G39" s="149">
        <v>-7.163339409083819E-4</v>
      </c>
      <c r="H39" s="212">
        <v>5.6299999999999244</v>
      </c>
    </row>
    <row r="40" spans="2:8">
      <c r="B40" s="144" t="s">
        <v>95</v>
      </c>
      <c r="C40" s="258"/>
      <c r="D40" s="259"/>
      <c r="E40" s="142">
        <v>9.8459728742761293E-2</v>
      </c>
      <c r="F40" s="113">
        <v>-3.6114632452781237E-2</v>
      </c>
      <c r="G40" s="149">
        <v>-6.992783713466403E-4</v>
      </c>
      <c r="H40" s="166">
        <v>5.7699999999999214</v>
      </c>
    </row>
    <row r="41" spans="2:8">
      <c r="B41" s="144" t="s">
        <v>96</v>
      </c>
      <c r="C41" s="257">
        <v>7</v>
      </c>
      <c r="D41" s="268">
        <v>90</v>
      </c>
      <c r="E41" s="142">
        <v>9.8459723772125585E-2</v>
      </c>
      <c r="F41" s="113">
        <v>-3.6114630625931732E-2</v>
      </c>
      <c r="G41" s="149">
        <v>-6.9927833678254067E-4</v>
      </c>
      <c r="H41" s="166">
        <v>5.7699999999999214</v>
      </c>
    </row>
    <row r="42" spans="2:8" ht="17" thickBot="1">
      <c r="B42" s="145" t="s">
        <v>95</v>
      </c>
      <c r="C42" s="267"/>
      <c r="D42" s="271"/>
      <c r="E42" s="143">
        <v>9.6006975865203223E-2</v>
      </c>
      <c r="F42" s="141">
        <v>-3.5213176247940917E-2</v>
      </c>
      <c r="G42" s="150">
        <v>-6.8222276722079895E-4</v>
      </c>
      <c r="H42" s="176">
        <v>5.9199999999999182</v>
      </c>
    </row>
    <row r="43" spans="2:8">
      <c r="B43" s="151" t="s">
        <v>96</v>
      </c>
      <c r="C43" s="258">
        <v>6</v>
      </c>
      <c r="D43" s="259">
        <v>90</v>
      </c>
      <c r="E43" s="152">
        <v>-0.10021285230273211</v>
      </c>
      <c r="F43" s="153">
        <v>3.6903172379398212E-2</v>
      </c>
      <c r="G43" s="154">
        <v>6.8222276722079884E-4</v>
      </c>
      <c r="H43" s="184">
        <v>1.0500000000000007</v>
      </c>
    </row>
    <row r="44" spans="2:8">
      <c r="B44" s="144" t="s">
        <v>95</v>
      </c>
      <c r="C44" s="252"/>
      <c r="D44" s="254"/>
      <c r="E44" s="142">
        <v>-0.10266560020965448</v>
      </c>
      <c r="F44" s="113">
        <v>3.7804626757389034E-2</v>
      </c>
      <c r="G44" s="149">
        <v>6.9927833678254045E-4</v>
      </c>
      <c r="H44" s="166">
        <v>1.0200000000000007</v>
      </c>
    </row>
    <row r="45" spans="2:8">
      <c r="B45" s="144" t="s">
        <v>96</v>
      </c>
      <c r="C45" s="252">
        <v>5</v>
      </c>
      <c r="D45" s="254">
        <v>90</v>
      </c>
      <c r="E45" s="142">
        <v>-0.10266560518029018</v>
      </c>
      <c r="F45" s="113">
        <v>3.7804628584238539E-2</v>
      </c>
      <c r="G45" s="149">
        <v>6.9927837134664008E-4</v>
      </c>
      <c r="H45" s="166">
        <v>1.0200000000000007</v>
      </c>
    </row>
    <row r="46" spans="2:8">
      <c r="B46" s="144" t="s">
        <v>95</v>
      </c>
      <c r="C46" s="252"/>
      <c r="D46" s="254"/>
      <c r="E46" s="142">
        <v>-0.10511835308721255</v>
      </c>
      <c r="F46" s="113">
        <v>3.8706082962229355E-2</v>
      </c>
      <c r="G46" s="149">
        <v>7.1633394090838169E-4</v>
      </c>
      <c r="H46" s="206">
        <v>1.0000000000000007</v>
      </c>
    </row>
    <row r="47" spans="2:8">
      <c r="B47" s="144" t="s">
        <v>96</v>
      </c>
      <c r="C47" s="252">
        <v>4</v>
      </c>
      <c r="D47" s="254">
        <v>-25</v>
      </c>
      <c r="E47" s="142">
        <v>0.57202690972606796</v>
      </c>
      <c r="F47" s="113">
        <v>1.051260505525642E-2</v>
      </c>
      <c r="G47" s="149">
        <v>2.4591716759030876E-2</v>
      </c>
      <c r="H47" s="166">
        <v>1.6100000000000012</v>
      </c>
    </row>
    <row r="48" spans="2:8">
      <c r="B48" s="144" t="s">
        <v>95</v>
      </c>
      <c r="C48" s="252"/>
      <c r="D48" s="254"/>
      <c r="E48" s="142">
        <v>0.58535300298697057</v>
      </c>
      <c r="F48" s="113">
        <v>1.0757094948862962E-2</v>
      </c>
      <c r="G48" s="149">
        <v>2.5164389474065723E-2</v>
      </c>
      <c r="H48" s="166">
        <v>1.5700000000000012</v>
      </c>
    </row>
    <row r="49" spans="2:8">
      <c r="B49" s="144" t="s">
        <v>96</v>
      </c>
      <c r="C49" s="252">
        <v>3</v>
      </c>
      <c r="D49" s="254">
        <v>25</v>
      </c>
      <c r="E49" s="142">
        <v>0.57133411655746347</v>
      </c>
      <c r="F49" s="113">
        <v>1.1340783950918462E-2</v>
      </c>
      <c r="G49" s="149">
        <v>-2.6107218022616677E-2</v>
      </c>
      <c r="H49" s="166">
        <v>1.5500000000000012</v>
      </c>
    </row>
    <row r="50" spans="2:8">
      <c r="B50" s="144" t="s">
        <v>95</v>
      </c>
      <c r="C50" s="252"/>
      <c r="D50" s="254"/>
      <c r="E50" s="142">
        <v>0.58433418858674924</v>
      </c>
      <c r="F50" s="113">
        <v>1.1598847995379885E-2</v>
      </c>
      <c r="G50" s="149">
        <v>-2.6701816955232393E-2</v>
      </c>
      <c r="H50" s="166">
        <v>1.5100000000000011</v>
      </c>
    </row>
    <row r="51" spans="2:8">
      <c r="B51" s="144" t="s">
        <v>96</v>
      </c>
      <c r="C51" s="252">
        <v>2</v>
      </c>
      <c r="D51" s="254">
        <v>0</v>
      </c>
      <c r="E51" s="142">
        <v>0.744049407707156</v>
      </c>
      <c r="F51" s="113">
        <v>4.9489776476736953E-3</v>
      </c>
      <c r="G51" s="149">
        <v>-7.5044505665027245E-4</v>
      </c>
      <c r="H51" s="166">
        <v>1.8900000000000015</v>
      </c>
    </row>
    <row r="52" spans="2:8">
      <c r="B52" s="144" t="s">
        <v>95</v>
      </c>
      <c r="C52" s="252"/>
      <c r="D52" s="254"/>
      <c r="E52" s="142">
        <v>0.760608040772356</v>
      </c>
      <c r="F52" s="113">
        <v>5.0588781995665709E-3</v>
      </c>
      <c r="G52" s="149">
        <v>-7.6750062621201416E-4</v>
      </c>
      <c r="H52" s="166">
        <v>1.8500000000000014</v>
      </c>
    </row>
    <row r="53" spans="2:8">
      <c r="B53" s="144" t="s">
        <v>96</v>
      </c>
      <c r="C53" s="252">
        <v>1</v>
      </c>
      <c r="D53" s="254">
        <v>0</v>
      </c>
      <c r="E53" s="142">
        <v>0.76060807432938504</v>
      </c>
      <c r="F53" s="113">
        <v>5.0588784222864057E-3</v>
      </c>
      <c r="G53" s="149">
        <v>-7.6750066077611379E-4</v>
      </c>
      <c r="H53" s="166">
        <v>1.8500000000000014</v>
      </c>
    </row>
    <row r="54" spans="2:8" ht="17" thickBot="1">
      <c r="B54" s="145" t="s">
        <v>95</v>
      </c>
      <c r="C54" s="253"/>
      <c r="D54" s="255"/>
      <c r="E54" s="143">
        <v>0.77716670739458515</v>
      </c>
      <c r="F54" s="141">
        <v>5.1687789741792839E-3</v>
      </c>
      <c r="G54" s="150">
        <v>-7.8455623033785551E-4</v>
      </c>
      <c r="H54" s="176">
        <v>1.8100000000000014</v>
      </c>
    </row>
    <row r="56" spans="2:8" ht="17" thickBot="1"/>
    <row r="57" spans="2:8" ht="19">
      <c r="B57" s="263" t="s">
        <v>97</v>
      </c>
      <c r="C57" s="264"/>
      <c r="D57" s="147" t="s">
        <v>100</v>
      </c>
      <c r="E57" s="148" t="s">
        <v>115</v>
      </c>
      <c r="F57" s="146" t="s">
        <v>116</v>
      </c>
      <c r="G57" s="147" t="s">
        <v>117</v>
      </c>
      <c r="H57" s="158" t="s">
        <v>119</v>
      </c>
    </row>
    <row r="58" spans="2:8">
      <c r="B58" s="144" t="s">
        <v>96</v>
      </c>
      <c r="C58" s="257">
        <v>12</v>
      </c>
      <c r="D58" s="268">
        <v>0</v>
      </c>
      <c r="E58" s="142">
        <v>-0.79061287821301318</v>
      </c>
      <c r="F58" s="113">
        <v>-5.2360244423983217E-3</v>
      </c>
      <c r="G58" s="149">
        <v>8.3122128493044202E-4</v>
      </c>
      <c r="H58" s="167">
        <v>-1.7899999999981113</v>
      </c>
    </row>
    <row r="59" spans="2:8">
      <c r="B59" s="144" t="s">
        <v>95</v>
      </c>
      <c r="C59" s="258"/>
      <c r="D59" s="259"/>
      <c r="E59" s="142">
        <v>-0.77306934503984592</v>
      </c>
      <c r="F59" s="113">
        <v>-5.1195870547051242E-3</v>
      </c>
      <c r="G59" s="149">
        <v>8.1315125769960029E-4</v>
      </c>
      <c r="H59" s="167">
        <v>-1.8299999999981114</v>
      </c>
    </row>
    <row r="60" spans="2:8">
      <c r="B60" s="144" t="s">
        <v>96</v>
      </c>
      <c r="C60" s="257">
        <v>11</v>
      </c>
      <c r="D60" s="268">
        <v>0</v>
      </c>
      <c r="E60" s="142">
        <v>-0.7730693094868597</v>
      </c>
      <c r="F60" s="113">
        <v>-5.1195868187380129E-3</v>
      </c>
      <c r="G60" s="149">
        <v>8.1315122107964344E-4</v>
      </c>
      <c r="H60" s="167">
        <v>-1.8299999999981114</v>
      </c>
    </row>
    <row r="61" spans="2:8">
      <c r="B61" s="144" t="s">
        <v>95</v>
      </c>
      <c r="C61" s="258"/>
      <c r="D61" s="259"/>
      <c r="E61" s="142">
        <v>-0.75552577631369233</v>
      </c>
      <c r="F61" s="113">
        <v>-5.0031494310448137E-3</v>
      </c>
      <c r="G61" s="149">
        <v>7.9508119384880181E-4</v>
      </c>
      <c r="H61" s="167">
        <v>-1.8699999999981114</v>
      </c>
    </row>
    <row r="62" spans="2:8">
      <c r="B62" s="144" t="s">
        <v>96</v>
      </c>
      <c r="C62" s="257">
        <v>10</v>
      </c>
      <c r="D62" s="268">
        <v>25</v>
      </c>
      <c r="E62" s="142">
        <v>-0.59296124003067785</v>
      </c>
      <c r="F62" s="113">
        <v>-1.1771653424596046E-2</v>
      </c>
      <c r="G62" s="149">
        <v>2.7146928969117214E-2</v>
      </c>
      <c r="H62" s="167">
        <v>-1.4999999999981111</v>
      </c>
    </row>
    <row r="63" spans="2:8">
      <c r="B63" s="144" t="s">
        <v>95</v>
      </c>
      <c r="C63" s="258"/>
      <c r="D63" s="259"/>
      <c r="E63" s="142">
        <v>-0.57918792951637854</v>
      </c>
      <c r="F63" s="113">
        <v>-1.1498239845891562E-2</v>
      </c>
      <c r="G63" s="149">
        <v>2.6516963557238107E-2</v>
      </c>
      <c r="H63" s="167">
        <v>-1.5399999999981111</v>
      </c>
    </row>
    <row r="64" spans="2:8">
      <c r="B64" s="144" t="s">
        <v>96</v>
      </c>
      <c r="C64" s="257">
        <v>9</v>
      </c>
      <c r="D64" s="268">
        <v>-25</v>
      </c>
      <c r="E64" s="142">
        <v>-0.59404065305693443</v>
      </c>
      <c r="F64" s="113">
        <v>-1.087983328237551E-2</v>
      </c>
      <c r="G64" s="149">
        <v>-2.5518055987212008E-2</v>
      </c>
      <c r="H64" s="167">
        <v>-1.5599999999981111</v>
      </c>
    </row>
    <row r="65" spans="2:8">
      <c r="B65" s="144" t="s">
        <v>95</v>
      </c>
      <c r="C65" s="258"/>
      <c r="D65" s="259"/>
      <c r="E65" s="142">
        <v>-0.57992192971359902</v>
      </c>
      <c r="F65" s="113">
        <v>-1.0620801238963374E-2</v>
      </c>
      <c r="G65" s="149">
        <v>-2.491132095455427E-2</v>
      </c>
      <c r="H65" s="167">
        <v>-1.5999999999981112</v>
      </c>
    </row>
    <row r="66" spans="2:8">
      <c r="B66" s="144" t="s">
        <v>96</v>
      </c>
      <c r="C66" s="257">
        <v>8</v>
      </c>
      <c r="D66" s="268">
        <v>90</v>
      </c>
      <c r="E66" s="142">
        <v>0.10691470574408869</v>
      </c>
      <c r="F66" s="113">
        <v>-3.9217787162713895E-2</v>
      </c>
      <c r="G66" s="149">
        <v>-7.5894116415943817E-4</v>
      </c>
      <c r="H66" s="207">
        <v>-0.99999999999811062</v>
      </c>
    </row>
    <row r="67" spans="2:8">
      <c r="B67" s="144" t="s">
        <v>95</v>
      </c>
      <c r="C67" s="258"/>
      <c r="D67" s="259"/>
      <c r="E67" s="142">
        <v>0.1043160694858252</v>
      </c>
      <c r="F67" s="113">
        <v>-3.8262714680455966E-2</v>
      </c>
      <c r="G67" s="149">
        <v>-7.4087113692859665E-4</v>
      </c>
      <c r="H67" s="167">
        <v>-1.0199999999981106</v>
      </c>
    </row>
    <row r="68" spans="2:8">
      <c r="B68" s="144" t="s">
        <v>96</v>
      </c>
      <c r="C68" s="257">
        <v>7</v>
      </c>
      <c r="D68" s="268">
        <v>90</v>
      </c>
      <c r="E68" s="142">
        <v>0.10431606421953829</v>
      </c>
      <c r="F68" s="113">
        <v>-3.8262712744946269E-2</v>
      </c>
      <c r="G68" s="149">
        <v>-7.4087110030863991E-4</v>
      </c>
      <c r="H68" s="167">
        <v>-1.0199999999981106</v>
      </c>
    </row>
    <row r="69" spans="2:8" ht="17" thickBot="1">
      <c r="B69" s="145" t="s">
        <v>95</v>
      </c>
      <c r="C69" s="267"/>
      <c r="D69" s="271"/>
      <c r="E69" s="143">
        <v>0.10171742796127481</v>
      </c>
      <c r="F69" s="141">
        <v>-3.7307640262688332E-2</v>
      </c>
      <c r="G69" s="150">
        <v>-7.2280107307779828E-4</v>
      </c>
      <c r="H69" s="177">
        <v>-1.0499999999981107</v>
      </c>
    </row>
    <row r="70" spans="2:8">
      <c r="B70" s="151" t="s">
        <v>96</v>
      </c>
      <c r="C70" s="258">
        <v>6</v>
      </c>
      <c r="D70" s="259">
        <v>90</v>
      </c>
      <c r="E70" s="152">
        <v>-0.10617346805308051</v>
      </c>
      <c r="F70" s="153">
        <v>3.9098156610143091E-2</v>
      </c>
      <c r="G70" s="154">
        <v>7.2280107307779807E-4</v>
      </c>
      <c r="H70" s="185">
        <v>-5.3399999999980405</v>
      </c>
    </row>
    <row r="71" spans="2:8">
      <c r="B71" s="144" t="s">
        <v>95</v>
      </c>
      <c r="C71" s="252"/>
      <c r="D71" s="254"/>
      <c r="E71" s="142">
        <v>-0.10877210431134397</v>
      </c>
      <c r="F71" s="113">
        <v>4.005322909240102E-2</v>
      </c>
      <c r="G71" s="149">
        <v>7.4087110030863969E-4</v>
      </c>
      <c r="H71" s="167">
        <v>-5.2199999999980431</v>
      </c>
    </row>
    <row r="72" spans="2:8">
      <c r="B72" s="144" t="s">
        <v>96</v>
      </c>
      <c r="C72" s="252">
        <v>5</v>
      </c>
      <c r="D72" s="254">
        <v>90</v>
      </c>
      <c r="E72" s="142">
        <v>-0.10877210957763088</v>
      </c>
      <c r="F72" s="113">
        <v>4.0053231027910717E-2</v>
      </c>
      <c r="G72" s="149">
        <v>7.4087113692859643E-4</v>
      </c>
      <c r="H72" s="167">
        <v>-5.2199999999980431</v>
      </c>
    </row>
    <row r="73" spans="2:8">
      <c r="B73" s="144" t="s">
        <v>95</v>
      </c>
      <c r="C73" s="252"/>
      <c r="D73" s="254"/>
      <c r="E73" s="142">
        <v>-0.11137074583589437</v>
      </c>
      <c r="F73" s="113">
        <v>4.1008303510168646E-2</v>
      </c>
      <c r="G73" s="149">
        <v>7.5894116415943795E-4</v>
      </c>
      <c r="H73" s="213">
        <v>-5.0999999999980457</v>
      </c>
    </row>
    <row r="74" spans="2:8">
      <c r="B74" s="144" t="s">
        <v>96</v>
      </c>
      <c r="C74" s="252">
        <v>4</v>
      </c>
      <c r="D74" s="254">
        <v>-25</v>
      </c>
      <c r="E74" s="142">
        <v>0.60605081513728398</v>
      </c>
      <c r="F74" s="113">
        <v>1.1137890114305127E-2</v>
      </c>
      <c r="G74" s="149">
        <v>2.6054421101575465E-2</v>
      </c>
      <c r="H74" s="167">
        <v>-2.3699999999981038</v>
      </c>
    </row>
    <row r="75" spans="2:8">
      <c r="B75" s="144" t="s">
        <v>95</v>
      </c>
      <c r="C75" s="252"/>
      <c r="D75" s="254"/>
      <c r="E75" s="142">
        <v>0.62016953848061929</v>
      </c>
      <c r="F75" s="113">
        <v>1.1396922157717263E-2</v>
      </c>
      <c r="G75" s="149">
        <v>2.6661156134233203E-2</v>
      </c>
      <c r="H75" s="167">
        <v>-2.3199999999981049</v>
      </c>
    </row>
    <row r="76" spans="2:8">
      <c r="B76" s="144" t="s">
        <v>96</v>
      </c>
      <c r="C76" s="252">
        <v>3</v>
      </c>
      <c r="D76" s="254">
        <v>25</v>
      </c>
      <c r="E76" s="142">
        <v>0.60531681494006351</v>
      </c>
      <c r="F76" s="113">
        <v>1.2015328721233315E-2</v>
      </c>
      <c r="G76" s="149">
        <v>-2.7660063704259306E-2</v>
      </c>
      <c r="H76" s="167">
        <v>-2.3299999999981047</v>
      </c>
    </row>
    <row r="77" spans="2:8">
      <c r="B77" s="144" t="s">
        <v>95</v>
      </c>
      <c r="C77" s="252"/>
      <c r="D77" s="254"/>
      <c r="E77" s="142">
        <v>0.61909012545436271</v>
      </c>
      <c r="F77" s="113">
        <v>1.2288742299937799E-2</v>
      </c>
      <c r="G77" s="149">
        <v>-2.8290029116138416E-2</v>
      </c>
      <c r="H77" s="167">
        <v>-2.269999999998106</v>
      </c>
    </row>
    <row r="78" spans="2:8">
      <c r="B78" s="144" t="s">
        <v>96</v>
      </c>
      <c r="C78" s="252">
        <v>2</v>
      </c>
      <c r="D78" s="254">
        <v>0</v>
      </c>
      <c r="E78" s="142">
        <v>0.78830513455962625</v>
      </c>
      <c r="F78" s="113">
        <v>5.2433406304349525E-3</v>
      </c>
      <c r="G78" s="149">
        <v>-7.9508119384880181E-4</v>
      </c>
      <c r="H78" s="167">
        <v>-2.2299999999981068</v>
      </c>
    </row>
    <row r="79" spans="2:8">
      <c r="B79" s="144" t="s">
        <v>95</v>
      </c>
      <c r="C79" s="252"/>
      <c r="D79" s="254"/>
      <c r="E79" s="142">
        <v>0.80584866773279362</v>
      </c>
      <c r="F79" s="113">
        <v>5.3597780181281517E-3</v>
      </c>
      <c r="G79" s="149">
        <v>-8.1315122107964344E-4</v>
      </c>
      <c r="H79" s="167">
        <v>-2.1799999999981079</v>
      </c>
    </row>
    <row r="80" spans="2:8">
      <c r="B80" s="144" t="s">
        <v>96</v>
      </c>
      <c r="C80" s="252">
        <v>1</v>
      </c>
      <c r="D80" s="254">
        <v>0</v>
      </c>
      <c r="E80" s="142">
        <v>0.80584870328577984</v>
      </c>
      <c r="F80" s="113">
        <v>5.359778254095263E-3</v>
      </c>
      <c r="G80" s="149">
        <v>-8.1315125769960029E-4</v>
      </c>
      <c r="H80" s="167">
        <v>-2.1799999999981079</v>
      </c>
    </row>
    <row r="81" spans="2:11" ht="17" thickBot="1">
      <c r="B81" s="145" t="s">
        <v>95</v>
      </c>
      <c r="C81" s="253"/>
      <c r="D81" s="255"/>
      <c r="E81" s="143">
        <v>0.8233922364589471</v>
      </c>
      <c r="F81" s="141">
        <v>5.4762156417884605E-3</v>
      </c>
      <c r="G81" s="150">
        <v>-8.3122128493044202E-4</v>
      </c>
      <c r="H81" s="177">
        <v>-2.1399999999981087</v>
      </c>
    </row>
    <row r="83" spans="2:11" ht="17" thickBot="1"/>
    <row r="84" spans="2:11" ht="19">
      <c r="B84" s="263" t="s">
        <v>97</v>
      </c>
      <c r="C84" s="264"/>
      <c r="D84" s="147" t="s">
        <v>100</v>
      </c>
      <c r="E84" s="148" t="s">
        <v>115</v>
      </c>
      <c r="F84" s="146" t="s">
        <v>116</v>
      </c>
      <c r="G84" s="147" t="s">
        <v>117</v>
      </c>
      <c r="H84" s="157" t="s">
        <v>122</v>
      </c>
      <c r="I84" s="159" t="s">
        <v>123</v>
      </c>
      <c r="J84" s="159" t="s">
        <v>124</v>
      </c>
      <c r="K84" s="160" t="s">
        <v>125</v>
      </c>
    </row>
    <row r="85" spans="2:11">
      <c r="B85" s="144" t="s">
        <v>96</v>
      </c>
      <c r="C85" s="257">
        <v>12</v>
      </c>
      <c r="D85" s="268">
        <v>0</v>
      </c>
      <c r="E85" s="142">
        <v>-0.79893511903630809</v>
      </c>
      <c r="F85" s="113">
        <v>-5.2911404891604081E-3</v>
      </c>
      <c r="G85" s="149">
        <v>8.3997098266655197E-4</v>
      </c>
      <c r="H85" s="172" t="s">
        <v>112</v>
      </c>
      <c r="I85" s="169">
        <v>1.8000000000000005</v>
      </c>
      <c r="J85" s="168" t="s">
        <v>112</v>
      </c>
      <c r="K85" s="201">
        <v>43.209999999999972</v>
      </c>
    </row>
    <row r="86" spans="2:11">
      <c r="B86" s="144" t="s">
        <v>95</v>
      </c>
      <c r="C86" s="258"/>
      <c r="D86" s="259"/>
      <c r="E86" s="142">
        <v>-0.7812069170928968</v>
      </c>
      <c r="F86" s="113">
        <v>-5.1734774447546473E-3</v>
      </c>
      <c r="G86" s="149">
        <v>8.2171074462275399E-4</v>
      </c>
      <c r="H86" s="172" t="s">
        <v>112</v>
      </c>
      <c r="I86" s="169">
        <v>1.9000000000000006</v>
      </c>
      <c r="J86" s="168" t="s">
        <v>112</v>
      </c>
      <c r="K86" s="201">
        <v>44.189999999999777</v>
      </c>
    </row>
    <row r="87" spans="2:11">
      <c r="B87" s="144" t="s">
        <v>96</v>
      </c>
      <c r="C87" s="257">
        <v>11</v>
      </c>
      <c r="D87" s="268">
        <v>0</v>
      </c>
      <c r="E87" s="142">
        <v>-0.78120688116566872</v>
      </c>
      <c r="F87" s="113">
        <v>-5.1734772063036748E-3</v>
      </c>
      <c r="G87" s="149">
        <v>8.2171070761732402E-4</v>
      </c>
      <c r="H87" s="172" t="s">
        <v>112</v>
      </c>
      <c r="I87" s="169">
        <v>1.9000000000000006</v>
      </c>
      <c r="J87" s="168" t="s">
        <v>112</v>
      </c>
      <c r="K87" s="201">
        <v>44.189999999999777</v>
      </c>
    </row>
    <row r="88" spans="2:11">
      <c r="B88" s="144" t="s">
        <v>95</v>
      </c>
      <c r="C88" s="258"/>
      <c r="D88" s="259"/>
      <c r="E88" s="142">
        <v>-0.76347867922225743</v>
      </c>
      <c r="F88" s="113">
        <v>-5.0558141618979148E-3</v>
      </c>
      <c r="G88" s="149">
        <v>8.0345046957352605E-4</v>
      </c>
      <c r="H88" s="172" t="s">
        <v>112</v>
      </c>
      <c r="I88" s="169">
        <v>1.9000000000000006</v>
      </c>
      <c r="J88" s="168" t="s">
        <v>112</v>
      </c>
      <c r="K88" s="201">
        <v>45.209999999999575</v>
      </c>
    </row>
    <row r="89" spans="2:11">
      <c r="B89" s="144" t="s">
        <v>96</v>
      </c>
      <c r="C89" s="257">
        <v>10</v>
      </c>
      <c r="D89" s="268">
        <v>25</v>
      </c>
      <c r="E89" s="142">
        <v>-0.59920293729415852</v>
      </c>
      <c r="F89" s="113">
        <v>-1.1895565565907582E-2</v>
      </c>
      <c r="G89" s="149">
        <v>2.7432686116160548E-2</v>
      </c>
      <c r="H89" s="172" t="s">
        <v>112</v>
      </c>
      <c r="I89" s="169">
        <v>2.5000000000000009</v>
      </c>
      <c r="J89" s="168" t="s">
        <v>112</v>
      </c>
      <c r="K89" s="201">
        <v>2.7599999999999851</v>
      </c>
    </row>
    <row r="90" spans="2:11">
      <c r="B90" s="144" t="s">
        <v>95</v>
      </c>
      <c r="C90" s="258"/>
      <c r="D90" s="259"/>
      <c r="E90" s="142">
        <v>-0.58528464456391938</v>
      </c>
      <c r="F90" s="113">
        <v>-1.1619273949532525E-2</v>
      </c>
      <c r="G90" s="149">
        <v>2.6796089489419563E-2</v>
      </c>
      <c r="H90" s="172" t="s">
        <v>112</v>
      </c>
      <c r="I90" s="169">
        <v>2.5000000000000009</v>
      </c>
      <c r="J90" s="168" t="s">
        <v>112</v>
      </c>
      <c r="K90" s="201">
        <v>2.8299999999999836</v>
      </c>
    </row>
    <row r="91" spans="2:11">
      <c r="B91" s="144" t="s">
        <v>96</v>
      </c>
      <c r="C91" s="257">
        <v>9</v>
      </c>
      <c r="D91" s="268">
        <v>-25</v>
      </c>
      <c r="E91" s="142">
        <v>-0.60029371256279684</v>
      </c>
      <c r="F91" s="113">
        <v>-1.099435784324262E-2</v>
      </c>
      <c r="G91" s="149">
        <v>-2.578666710286687E-2</v>
      </c>
      <c r="H91" s="172" t="s">
        <v>112</v>
      </c>
      <c r="I91" s="169">
        <v>2.4000000000000008</v>
      </c>
      <c r="J91" s="168" t="s">
        <v>112</v>
      </c>
      <c r="K91" s="201">
        <v>2.9299999999999815</v>
      </c>
    </row>
    <row r="92" spans="2:11">
      <c r="B92" s="144" t="s">
        <v>95</v>
      </c>
      <c r="C92" s="258"/>
      <c r="D92" s="259"/>
      <c r="E92" s="142">
        <v>-0.58602637107900535</v>
      </c>
      <c r="F92" s="113">
        <v>-1.0732599146741939E-2</v>
      </c>
      <c r="G92" s="149">
        <v>-2.5173545385654836E-2</v>
      </c>
      <c r="H92" s="172" t="s">
        <v>112</v>
      </c>
      <c r="I92" s="169">
        <v>2.5000000000000009</v>
      </c>
      <c r="J92" s="168" t="s">
        <v>112</v>
      </c>
      <c r="K92" s="201">
        <v>3.0099999999999798</v>
      </c>
    </row>
    <row r="93" spans="2:11">
      <c r="B93" s="144" t="s">
        <v>96</v>
      </c>
      <c r="C93" s="257">
        <v>8</v>
      </c>
      <c r="D93" s="268">
        <v>90</v>
      </c>
      <c r="E93" s="142">
        <v>0.10804012369928964</v>
      </c>
      <c r="F93" s="113">
        <v>-3.9630605974952986E-2</v>
      </c>
      <c r="G93" s="149">
        <v>-7.6693001851901139E-4</v>
      </c>
      <c r="H93" s="196">
        <v>13.699999999999967</v>
      </c>
      <c r="I93" s="163" t="s">
        <v>112</v>
      </c>
      <c r="J93" s="205">
        <v>1.0000000000000007</v>
      </c>
      <c r="K93" s="215" t="s">
        <v>112</v>
      </c>
    </row>
    <row r="94" spans="2:11">
      <c r="B94" s="144" t="s">
        <v>95</v>
      </c>
      <c r="C94" s="258"/>
      <c r="D94" s="259"/>
      <c r="E94" s="142">
        <v>0.10541413337514968</v>
      </c>
      <c r="F94" s="113">
        <v>-3.8665480098144973E-2</v>
      </c>
      <c r="G94" s="149">
        <v>-7.4866978047521352E-4</v>
      </c>
      <c r="H94" s="200">
        <v>13.999999999999966</v>
      </c>
      <c r="I94" s="168" t="s">
        <v>112</v>
      </c>
      <c r="J94" s="169">
        <v>1.0300000000000007</v>
      </c>
      <c r="K94" s="170" t="s">
        <v>112</v>
      </c>
    </row>
    <row r="95" spans="2:11">
      <c r="B95" s="144" t="s">
        <v>96</v>
      </c>
      <c r="C95" s="257">
        <v>7</v>
      </c>
      <c r="D95" s="268">
        <v>90</v>
      </c>
      <c r="E95" s="142">
        <v>0.10541412805342817</v>
      </c>
      <c r="F95" s="113">
        <v>-3.8665478142261483E-2</v>
      </c>
      <c r="G95" s="149">
        <v>-7.4866974346978344E-4</v>
      </c>
      <c r="H95" s="200">
        <v>13.999999999999966</v>
      </c>
      <c r="I95" s="168" t="s">
        <v>112</v>
      </c>
      <c r="J95" s="169">
        <v>1.0300000000000007</v>
      </c>
      <c r="K95" s="170" t="s">
        <v>112</v>
      </c>
    </row>
    <row r="96" spans="2:11" ht="17" thickBot="1">
      <c r="B96" s="145" t="s">
        <v>95</v>
      </c>
      <c r="C96" s="267"/>
      <c r="D96" s="271"/>
      <c r="E96" s="143">
        <v>0.10278813772928823</v>
      </c>
      <c r="F96" s="141">
        <v>-3.7700352265453478E-2</v>
      </c>
      <c r="G96" s="150">
        <v>-7.3040950542598568E-4</v>
      </c>
      <c r="H96" s="202">
        <v>14.399999999999965</v>
      </c>
      <c r="I96" s="179" t="s">
        <v>112</v>
      </c>
      <c r="J96" s="178">
        <v>1.0600000000000007</v>
      </c>
      <c r="K96" s="191" t="s">
        <v>112</v>
      </c>
    </row>
    <row r="97" spans="2:15">
      <c r="B97" s="151" t="s">
        <v>96</v>
      </c>
      <c r="C97" s="258">
        <v>6</v>
      </c>
      <c r="D97" s="259">
        <v>90</v>
      </c>
      <c r="E97" s="152">
        <v>-0.10729108350627081</v>
      </c>
      <c r="F97" s="153">
        <v>3.9509716153407759E-2</v>
      </c>
      <c r="G97" s="154">
        <v>7.3040950542598547E-4</v>
      </c>
      <c r="H97" s="186" t="s">
        <v>112</v>
      </c>
      <c r="I97" s="187">
        <v>13.899999999999967</v>
      </c>
      <c r="J97" s="188" t="s">
        <v>112</v>
      </c>
      <c r="K97" s="203">
        <v>1.9000000000000015</v>
      </c>
    </row>
    <row r="98" spans="2:15">
      <c r="B98" s="144" t="s">
        <v>95</v>
      </c>
      <c r="C98" s="252"/>
      <c r="D98" s="254"/>
      <c r="E98" s="142">
        <v>-0.10991707383041077</v>
      </c>
      <c r="F98" s="113">
        <v>4.0474842030215771E-2</v>
      </c>
      <c r="G98" s="149">
        <v>7.4866974346978333E-4</v>
      </c>
      <c r="H98" s="172" t="s">
        <v>112</v>
      </c>
      <c r="I98" s="169">
        <v>13.599999999999968</v>
      </c>
      <c r="J98" s="168" t="s">
        <v>112</v>
      </c>
      <c r="K98" s="201">
        <v>1.8500000000000014</v>
      </c>
    </row>
    <row r="99" spans="2:15">
      <c r="B99" s="144" t="s">
        <v>96</v>
      </c>
      <c r="C99" s="252">
        <v>5</v>
      </c>
      <c r="D99" s="254">
        <v>90</v>
      </c>
      <c r="E99" s="142">
        <v>-0.10991707915213225</v>
      </c>
      <c r="F99" s="113">
        <v>4.0474843986099261E-2</v>
      </c>
      <c r="G99" s="149">
        <v>7.4866978047521341E-4</v>
      </c>
      <c r="H99" s="172" t="s">
        <v>112</v>
      </c>
      <c r="I99" s="169">
        <v>13.599999999999968</v>
      </c>
      <c r="J99" s="168" t="s">
        <v>112</v>
      </c>
      <c r="K99" s="201">
        <v>1.8500000000000014</v>
      </c>
    </row>
    <row r="100" spans="2:15">
      <c r="B100" s="144" t="s">
        <v>95</v>
      </c>
      <c r="C100" s="252"/>
      <c r="D100" s="254"/>
      <c r="E100" s="142">
        <v>-0.11254306947627221</v>
      </c>
      <c r="F100" s="113">
        <v>4.1439969862907267E-2</v>
      </c>
      <c r="G100" s="149">
        <v>7.6693001851901117E-4</v>
      </c>
      <c r="H100" s="171" t="s">
        <v>112</v>
      </c>
      <c r="I100" s="164">
        <v>13.299999999999969</v>
      </c>
      <c r="J100" s="168" t="s">
        <v>112</v>
      </c>
      <c r="K100" s="201">
        <v>1.8100000000000014</v>
      </c>
    </row>
    <row r="101" spans="2:15">
      <c r="B101" s="144" t="s">
        <v>96</v>
      </c>
      <c r="C101" s="252">
        <v>4</v>
      </c>
      <c r="D101" s="254">
        <v>-25</v>
      </c>
      <c r="E101" s="142">
        <v>0.61243029740188715</v>
      </c>
      <c r="F101" s="113">
        <v>1.1255131062876766E-2</v>
      </c>
      <c r="G101" s="149">
        <v>2.6328678165802581E-2</v>
      </c>
      <c r="H101" s="196">
        <v>1.7000000000000004</v>
      </c>
      <c r="I101" s="163" t="s">
        <v>112</v>
      </c>
      <c r="J101" s="169">
        <v>2.0799999999999996</v>
      </c>
      <c r="K101" s="170" t="s">
        <v>112</v>
      </c>
    </row>
    <row r="102" spans="2:15">
      <c r="B102" s="144" t="s">
        <v>95</v>
      </c>
      <c r="C102" s="252"/>
      <c r="D102" s="254"/>
      <c r="E102" s="142">
        <v>0.62669763888567864</v>
      </c>
      <c r="F102" s="113">
        <v>1.1516889759377449E-2</v>
      </c>
      <c r="G102" s="149">
        <v>2.6941799883014612E-2</v>
      </c>
      <c r="H102" s="196">
        <v>1.7000000000000004</v>
      </c>
      <c r="I102" s="163" t="s">
        <v>112</v>
      </c>
      <c r="J102" s="169">
        <v>2.0400000000000005</v>
      </c>
      <c r="K102" s="170" t="s">
        <v>112</v>
      </c>
    </row>
    <row r="103" spans="2:15">
      <c r="B103" s="144" t="s">
        <v>96</v>
      </c>
      <c r="C103" s="252">
        <v>3</v>
      </c>
      <c r="D103" s="254">
        <v>25</v>
      </c>
      <c r="E103" s="142">
        <v>0.61168857088680118</v>
      </c>
      <c r="F103" s="113">
        <v>1.2141805865667356E-2</v>
      </c>
      <c r="G103" s="149">
        <v>-2.7951222269567304E-2</v>
      </c>
      <c r="H103" s="196">
        <v>1.7000000000000004</v>
      </c>
      <c r="I103" s="163" t="s">
        <v>112</v>
      </c>
      <c r="J103" s="169">
        <v>1.9500000000000015</v>
      </c>
      <c r="K103" s="170" t="s">
        <v>112</v>
      </c>
    </row>
    <row r="104" spans="2:15">
      <c r="B104" s="144" t="s">
        <v>95</v>
      </c>
      <c r="C104" s="252"/>
      <c r="D104" s="254"/>
      <c r="E104" s="142">
        <v>0.62560686361704021</v>
      </c>
      <c r="F104" s="113">
        <v>1.2418097482042409E-2</v>
      </c>
      <c r="G104" s="149">
        <v>-2.8587818896308292E-2</v>
      </c>
      <c r="H104" s="200">
        <v>1.6000000000000003</v>
      </c>
      <c r="I104" s="168" t="s">
        <v>112</v>
      </c>
      <c r="J104" s="169">
        <v>1.9100000000000015</v>
      </c>
      <c r="K104" s="170" t="s">
        <v>112</v>
      </c>
    </row>
    <row r="105" spans="2:15">
      <c r="B105" s="144" t="s">
        <v>96</v>
      </c>
      <c r="C105" s="252">
        <v>2</v>
      </c>
      <c r="D105" s="254">
        <v>0</v>
      </c>
      <c r="E105" s="142">
        <v>0.7966030833444645</v>
      </c>
      <c r="F105" s="113">
        <v>5.2985336897026902E-3</v>
      </c>
      <c r="G105" s="149">
        <v>-8.0345046957352605E-4</v>
      </c>
      <c r="H105" s="200">
        <v>1.8000000000000005</v>
      </c>
      <c r="I105" s="168" t="s">
        <v>112</v>
      </c>
      <c r="J105" s="169">
        <v>7.5099999999998843</v>
      </c>
      <c r="K105" s="170" t="s">
        <v>112</v>
      </c>
    </row>
    <row r="106" spans="2:15">
      <c r="B106" s="144" t="s">
        <v>95</v>
      </c>
      <c r="C106" s="252"/>
      <c r="D106" s="254"/>
      <c r="E106" s="142">
        <v>0.81433128528787579</v>
      </c>
      <c r="F106" s="113">
        <v>5.416196734108451E-3</v>
      </c>
      <c r="G106" s="149">
        <v>-8.2171070761732402E-4</v>
      </c>
      <c r="H106" s="200">
        <v>1.8000000000000005</v>
      </c>
      <c r="I106" s="168" t="s">
        <v>112</v>
      </c>
      <c r="J106" s="169">
        <v>7.3499999999998877</v>
      </c>
      <c r="K106" s="170" t="s">
        <v>112</v>
      </c>
    </row>
    <row r="107" spans="2:15">
      <c r="B107" s="144" t="s">
        <v>96</v>
      </c>
      <c r="C107" s="252">
        <v>1</v>
      </c>
      <c r="D107" s="254">
        <v>0</v>
      </c>
      <c r="E107" s="142">
        <v>0.81433132121510388</v>
      </c>
      <c r="F107" s="113">
        <v>5.4161969725594235E-3</v>
      </c>
      <c r="G107" s="149">
        <v>-8.2171074462275399E-4</v>
      </c>
      <c r="H107" s="200">
        <v>1.8000000000000005</v>
      </c>
      <c r="I107" s="168" t="s">
        <v>112</v>
      </c>
      <c r="J107" s="169">
        <v>7.3499999999998877</v>
      </c>
      <c r="K107" s="170" t="s">
        <v>112</v>
      </c>
    </row>
    <row r="108" spans="2:15" ht="17" thickBot="1">
      <c r="B108" s="145" t="s">
        <v>95</v>
      </c>
      <c r="C108" s="253"/>
      <c r="D108" s="255"/>
      <c r="E108" s="143">
        <v>0.83205952315851517</v>
      </c>
      <c r="F108" s="141">
        <v>5.5338600169651843E-3</v>
      </c>
      <c r="G108" s="150">
        <v>-8.3997098266655197E-4</v>
      </c>
      <c r="H108" s="202">
        <v>1.8000000000000005</v>
      </c>
      <c r="I108" s="179" t="s">
        <v>112</v>
      </c>
      <c r="J108" s="178">
        <v>7.1899999999998911</v>
      </c>
      <c r="K108" s="191" t="s">
        <v>112</v>
      </c>
    </row>
    <row r="110" spans="2:15" ht="17" thickBot="1">
      <c r="E110" s="68" t="s">
        <v>106</v>
      </c>
      <c r="J110" s="68" t="s">
        <v>118</v>
      </c>
      <c r="L110" s="68" t="s">
        <v>121</v>
      </c>
    </row>
    <row r="111" spans="2:15" ht="17" thickBot="1">
      <c r="E111" s="272" t="s">
        <v>129</v>
      </c>
      <c r="F111" s="273"/>
      <c r="G111" s="273"/>
      <c r="H111" s="273"/>
      <c r="I111" s="274"/>
      <c r="J111" s="214" t="s">
        <v>130</v>
      </c>
      <c r="K111" s="214" t="s">
        <v>131</v>
      </c>
      <c r="L111" s="272" t="s">
        <v>132</v>
      </c>
      <c r="M111" s="273"/>
      <c r="N111" s="273"/>
      <c r="O111" s="274"/>
    </row>
    <row r="112" spans="2:15" ht="19">
      <c r="B112" s="263" t="s">
        <v>97</v>
      </c>
      <c r="C112" s="264"/>
      <c r="D112" s="147" t="s">
        <v>100</v>
      </c>
      <c r="E112" s="148" t="s">
        <v>107</v>
      </c>
      <c r="F112" s="146" t="s">
        <v>108</v>
      </c>
      <c r="G112" s="146" t="s">
        <v>109</v>
      </c>
      <c r="H112" s="146" t="s">
        <v>110</v>
      </c>
      <c r="I112" s="147" t="s">
        <v>111</v>
      </c>
      <c r="J112" s="157" t="s">
        <v>120</v>
      </c>
      <c r="K112" s="158" t="s">
        <v>119</v>
      </c>
      <c r="L112" s="157" t="s">
        <v>122</v>
      </c>
      <c r="M112" s="159" t="s">
        <v>123</v>
      </c>
      <c r="N112" s="159" t="s">
        <v>124</v>
      </c>
      <c r="O112" s="160" t="s">
        <v>125</v>
      </c>
    </row>
    <row r="113" spans="2:15">
      <c r="B113" s="144" t="s">
        <v>96</v>
      </c>
      <c r="C113" s="257">
        <v>12</v>
      </c>
      <c r="D113" s="268">
        <v>0</v>
      </c>
      <c r="E113" s="171" t="s">
        <v>112</v>
      </c>
      <c r="F113" s="164">
        <v>1.9100000000000008</v>
      </c>
      <c r="G113" s="163" t="s">
        <v>112</v>
      </c>
      <c r="H113" s="164">
        <v>48.329999999998954</v>
      </c>
      <c r="I113" s="165">
        <v>84.109999999999502</v>
      </c>
      <c r="J113" s="166">
        <v>2.3499999999999939</v>
      </c>
      <c r="K113" s="167">
        <v>-1.7899999999981113</v>
      </c>
      <c r="L113" s="172" t="s">
        <v>112</v>
      </c>
      <c r="M113" s="169">
        <v>1.8000000000000005</v>
      </c>
      <c r="N113" s="168" t="s">
        <v>112</v>
      </c>
      <c r="O113" s="201">
        <v>43.209999999999972</v>
      </c>
    </row>
    <row r="114" spans="2:15">
      <c r="B114" s="144" t="s">
        <v>95</v>
      </c>
      <c r="C114" s="258"/>
      <c r="D114" s="259"/>
      <c r="E114" s="171" t="s">
        <v>112</v>
      </c>
      <c r="F114" s="164">
        <v>1.9100000000000008</v>
      </c>
      <c r="G114" s="163" t="s">
        <v>112</v>
      </c>
      <c r="H114" s="164">
        <v>49.429999999998735</v>
      </c>
      <c r="I114" s="165">
        <v>86.009999999999394</v>
      </c>
      <c r="J114" s="166">
        <v>2.3999999999999928</v>
      </c>
      <c r="K114" s="167">
        <v>-1.8299999999981114</v>
      </c>
      <c r="L114" s="172" t="s">
        <v>112</v>
      </c>
      <c r="M114" s="169">
        <v>1.9000000000000006</v>
      </c>
      <c r="N114" s="168" t="s">
        <v>112</v>
      </c>
      <c r="O114" s="201">
        <v>44.189999999999777</v>
      </c>
    </row>
    <row r="115" spans="2:15">
      <c r="B115" s="144" t="s">
        <v>96</v>
      </c>
      <c r="C115" s="257">
        <v>11</v>
      </c>
      <c r="D115" s="268">
        <v>0</v>
      </c>
      <c r="E115" s="171" t="s">
        <v>112</v>
      </c>
      <c r="F115" s="164">
        <v>1.9100000000000008</v>
      </c>
      <c r="G115" s="163" t="s">
        <v>112</v>
      </c>
      <c r="H115" s="164">
        <v>49.429999999998735</v>
      </c>
      <c r="I115" s="165">
        <v>86.009999999999394</v>
      </c>
      <c r="J115" s="166">
        <v>2.3999999999999928</v>
      </c>
      <c r="K115" s="167">
        <v>-1.8299999999981114</v>
      </c>
      <c r="L115" s="172" t="s">
        <v>112</v>
      </c>
      <c r="M115" s="169">
        <v>1.9000000000000006</v>
      </c>
      <c r="N115" s="168" t="s">
        <v>112</v>
      </c>
      <c r="O115" s="201">
        <v>44.189999999999777</v>
      </c>
    </row>
    <row r="116" spans="2:15">
      <c r="B116" s="144" t="s">
        <v>95</v>
      </c>
      <c r="C116" s="258"/>
      <c r="D116" s="259"/>
      <c r="E116" s="171" t="s">
        <v>112</v>
      </c>
      <c r="F116" s="164">
        <v>2.0100000000000007</v>
      </c>
      <c r="G116" s="163" t="s">
        <v>112</v>
      </c>
      <c r="H116" s="164">
        <v>50.579999999998506</v>
      </c>
      <c r="I116" s="165">
        <v>87.909999999999286</v>
      </c>
      <c r="J116" s="166">
        <v>2.4499999999999917</v>
      </c>
      <c r="K116" s="167">
        <v>-1.8699999999981114</v>
      </c>
      <c r="L116" s="172" t="s">
        <v>112</v>
      </c>
      <c r="M116" s="169">
        <v>1.9000000000000006</v>
      </c>
      <c r="N116" s="168" t="s">
        <v>112</v>
      </c>
      <c r="O116" s="201">
        <v>45.209999999999575</v>
      </c>
    </row>
    <row r="117" spans="2:15">
      <c r="B117" s="144" t="s">
        <v>96</v>
      </c>
      <c r="C117" s="257">
        <v>10</v>
      </c>
      <c r="D117" s="268">
        <v>25</v>
      </c>
      <c r="E117" s="171" t="s">
        <v>112</v>
      </c>
      <c r="F117" s="164">
        <v>2.5100000000000011</v>
      </c>
      <c r="G117" s="163" t="s">
        <v>112</v>
      </c>
      <c r="H117" s="164">
        <v>21.500000000000561</v>
      </c>
      <c r="I117" s="165">
        <v>2.5100000000000011</v>
      </c>
      <c r="J117" s="166">
        <v>2.4999999999999907</v>
      </c>
      <c r="K117" s="167">
        <v>-1.4999999999981111</v>
      </c>
      <c r="L117" s="172" t="s">
        <v>112</v>
      </c>
      <c r="M117" s="169">
        <v>2.5000000000000009</v>
      </c>
      <c r="N117" s="168" t="s">
        <v>112</v>
      </c>
      <c r="O117" s="201">
        <v>2.7599999999999851</v>
      </c>
    </row>
    <row r="118" spans="2:15">
      <c r="B118" s="144" t="s">
        <v>95</v>
      </c>
      <c r="C118" s="258"/>
      <c r="D118" s="259"/>
      <c r="E118" s="171" t="s">
        <v>112</v>
      </c>
      <c r="F118" s="164">
        <v>2.6100000000000012</v>
      </c>
      <c r="G118" s="163" t="s">
        <v>112</v>
      </c>
      <c r="H118" s="164">
        <v>22.010000000000641</v>
      </c>
      <c r="I118" s="165">
        <v>2.6100000000000012</v>
      </c>
      <c r="J118" s="166">
        <v>2.5599999999999894</v>
      </c>
      <c r="K118" s="167">
        <v>-1.5399999999981111</v>
      </c>
      <c r="L118" s="172" t="s">
        <v>112</v>
      </c>
      <c r="M118" s="169">
        <v>2.5000000000000009</v>
      </c>
      <c r="N118" s="168" t="s">
        <v>112</v>
      </c>
      <c r="O118" s="201">
        <v>2.8299999999999836</v>
      </c>
    </row>
    <row r="119" spans="2:15">
      <c r="B119" s="144" t="s">
        <v>96</v>
      </c>
      <c r="C119" s="257">
        <v>9</v>
      </c>
      <c r="D119" s="268">
        <v>-25</v>
      </c>
      <c r="E119" s="171" t="s">
        <v>112</v>
      </c>
      <c r="F119" s="164">
        <v>2.5100000000000011</v>
      </c>
      <c r="G119" s="163" t="s">
        <v>112</v>
      </c>
      <c r="H119" s="164">
        <v>23.260000000000836</v>
      </c>
      <c r="I119" s="165">
        <v>2.7100000000000013</v>
      </c>
      <c r="J119" s="166">
        <v>2.5499999999999896</v>
      </c>
      <c r="K119" s="167">
        <v>-1.5599999999981111</v>
      </c>
      <c r="L119" s="172" t="s">
        <v>112</v>
      </c>
      <c r="M119" s="169">
        <v>2.4000000000000008</v>
      </c>
      <c r="N119" s="168" t="s">
        <v>112</v>
      </c>
      <c r="O119" s="201">
        <v>2.9299999999999815</v>
      </c>
    </row>
    <row r="120" spans="2:15">
      <c r="B120" s="144" t="s">
        <v>95</v>
      </c>
      <c r="C120" s="258"/>
      <c r="D120" s="259"/>
      <c r="E120" s="171" t="s">
        <v>112</v>
      </c>
      <c r="F120" s="164">
        <v>2.6100000000000012</v>
      </c>
      <c r="G120" s="163" t="s">
        <v>112</v>
      </c>
      <c r="H120" s="164">
        <v>23.830000000000926</v>
      </c>
      <c r="I120" s="165">
        <v>2.7100000000000013</v>
      </c>
      <c r="J120" s="166">
        <v>2.6099999999999883</v>
      </c>
      <c r="K120" s="167">
        <v>-1.5999999999981112</v>
      </c>
      <c r="L120" s="172" t="s">
        <v>112</v>
      </c>
      <c r="M120" s="169">
        <v>2.5000000000000009</v>
      </c>
      <c r="N120" s="168" t="s">
        <v>112</v>
      </c>
      <c r="O120" s="201">
        <v>3.0099999999999798</v>
      </c>
    </row>
    <row r="121" spans="2:15">
      <c r="B121" s="211" t="s">
        <v>96</v>
      </c>
      <c r="C121" s="276">
        <v>8</v>
      </c>
      <c r="D121" s="268">
        <v>90</v>
      </c>
      <c r="E121" s="196">
        <v>14.409999999999966</v>
      </c>
      <c r="F121" s="163" t="s">
        <v>112</v>
      </c>
      <c r="G121" s="163" t="s">
        <v>112</v>
      </c>
      <c r="H121" s="164">
        <v>6.4499999999999069</v>
      </c>
      <c r="I121" s="165">
        <v>92.109999999999047</v>
      </c>
      <c r="J121" s="212">
        <v>5.6299999999999244</v>
      </c>
      <c r="K121" s="217">
        <v>-0.99999999999811062</v>
      </c>
      <c r="L121" s="196">
        <v>13.699999999999967</v>
      </c>
      <c r="M121" s="163" t="s">
        <v>112</v>
      </c>
      <c r="N121" s="216">
        <v>1.0000000000000007</v>
      </c>
      <c r="O121" s="215" t="s">
        <v>112</v>
      </c>
    </row>
    <row r="122" spans="2:15">
      <c r="B122" s="144" t="s">
        <v>95</v>
      </c>
      <c r="C122" s="277"/>
      <c r="D122" s="259"/>
      <c r="E122" s="196">
        <v>14.709999999999965</v>
      </c>
      <c r="F122" s="163" t="s">
        <v>112</v>
      </c>
      <c r="G122" s="163" t="s">
        <v>112</v>
      </c>
      <c r="H122" s="164">
        <v>6.6099999999999035</v>
      </c>
      <c r="I122" s="165">
        <v>94.409999999998917</v>
      </c>
      <c r="J122" s="166">
        <v>5.7699999999999214</v>
      </c>
      <c r="K122" s="167">
        <v>-1.0199999999981106</v>
      </c>
      <c r="L122" s="200">
        <v>13.999999999999966</v>
      </c>
      <c r="M122" s="168" t="s">
        <v>112</v>
      </c>
      <c r="N122" s="169">
        <v>1.0300000000000007</v>
      </c>
      <c r="O122" s="170" t="s">
        <v>112</v>
      </c>
    </row>
    <row r="123" spans="2:15">
      <c r="B123" s="144" t="s">
        <v>96</v>
      </c>
      <c r="C123" s="257">
        <v>7</v>
      </c>
      <c r="D123" s="268">
        <v>90</v>
      </c>
      <c r="E123" s="196">
        <v>14.709999999999965</v>
      </c>
      <c r="F123" s="163" t="s">
        <v>112</v>
      </c>
      <c r="G123" s="163" t="s">
        <v>112</v>
      </c>
      <c r="H123" s="164">
        <v>6.6099999999999035</v>
      </c>
      <c r="I123" s="165">
        <v>94.409999999998917</v>
      </c>
      <c r="J123" s="166">
        <v>5.7699999999999214</v>
      </c>
      <c r="K123" s="167">
        <v>-1.0199999999981106</v>
      </c>
      <c r="L123" s="200">
        <v>13.999999999999966</v>
      </c>
      <c r="M123" s="168" t="s">
        <v>112</v>
      </c>
      <c r="N123" s="169">
        <v>1.0300000000000007</v>
      </c>
      <c r="O123" s="170" t="s">
        <v>112</v>
      </c>
    </row>
    <row r="124" spans="2:15" ht="17" thickBot="1">
      <c r="B124" s="145" t="s">
        <v>95</v>
      </c>
      <c r="C124" s="267"/>
      <c r="D124" s="271"/>
      <c r="E124" s="197">
        <v>15.109999999999964</v>
      </c>
      <c r="F124" s="174" t="s">
        <v>112</v>
      </c>
      <c r="G124" s="174" t="s">
        <v>112</v>
      </c>
      <c r="H124" s="173">
        <v>6.7799999999998999</v>
      </c>
      <c r="I124" s="175">
        <v>96.709999999998786</v>
      </c>
      <c r="J124" s="176">
        <v>5.9199999999999182</v>
      </c>
      <c r="K124" s="177">
        <v>-1.0499999999981107</v>
      </c>
      <c r="L124" s="202">
        <v>14.399999999999965</v>
      </c>
      <c r="M124" s="179" t="s">
        <v>112</v>
      </c>
      <c r="N124" s="178">
        <v>1.0600000000000007</v>
      </c>
      <c r="O124" s="191" t="s">
        <v>112</v>
      </c>
    </row>
    <row r="125" spans="2:15">
      <c r="B125" s="151" t="s">
        <v>96</v>
      </c>
      <c r="C125" s="258">
        <v>6</v>
      </c>
      <c r="D125" s="259">
        <v>90</v>
      </c>
      <c r="E125" s="180" t="s">
        <v>112</v>
      </c>
      <c r="F125" s="181">
        <v>14.509999999999966</v>
      </c>
      <c r="G125" s="181">
        <v>1.0500000000000007</v>
      </c>
      <c r="H125" s="182" t="s">
        <v>112</v>
      </c>
      <c r="I125" s="183">
        <v>96.709999999998786</v>
      </c>
      <c r="J125" s="184">
        <v>1.0500000000000007</v>
      </c>
      <c r="K125" s="185">
        <v>-5.3399999999980405</v>
      </c>
      <c r="L125" s="186" t="s">
        <v>112</v>
      </c>
      <c r="M125" s="187">
        <v>13.899999999999967</v>
      </c>
      <c r="N125" s="188" t="s">
        <v>112</v>
      </c>
      <c r="O125" s="203">
        <v>1.9000000000000015</v>
      </c>
    </row>
    <row r="126" spans="2:15">
      <c r="B126" s="144" t="s">
        <v>95</v>
      </c>
      <c r="C126" s="252"/>
      <c r="D126" s="254"/>
      <c r="E126" s="171" t="s">
        <v>112</v>
      </c>
      <c r="F126" s="164">
        <v>14.109999999999967</v>
      </c>
      <c r="G126" s="164">
        <v>1.0200000000000007</v>
      </c>
      <c r="H126" s="163" t="s">
        <v>112</v>
      </c>
      <c r="I126" s="165">
        <v>94.409999999998917</v>
      </c>
      <c r="J126" s="166">
        <v>1.0200000000000007</v>
      </c>
      <c r="K126" s="167">
        <v>-5.2199999999980431</v>
      </c>
      <c r="L126" s="172" t="s">
        <v>112</v>
      </c>
      <c r="M126" s="169">
        <v>13.599999999999968</v>
      </c>
      <c r="N126" s="168" t="s">
        <v>112</v>
      </c>
      <c r="O126" s="201">
        <v>1.8500000000000014</v>
      </c>
    </row>
    <row r="127" spans="2:15">
      <c r="B127" s="144" t="s">
        <v>96</v>
      </c>
      <c r="C127" s="275">
        <v>5</v>
      </c>
      <c r="D127" s="254">
        <v>90</v>
      </c>
      <c r="E127" s="171" t="s">
        <v>112</v>
      </c>
      <c r="F127" s="164">
        <v>14.109999999999967</v>
      </c>
      <c r="G127" s="164">
        <v>1.0200000000000007</v>
      </c>
      <c r="H127" s="163" t="s">
        <v>112</v>
      </c>
      <c r="I127" s="165">
        <v>94.409999999998917</v>
      </c>
      <c r="J127" s="166">
        <v>1.0200000000000007</v>
      </c>
      <c r="K127" s="167">
        <v>-5.2199999999980431</v>
      </c>
      <c r="L127" s="172" t="s">
        <v>112</v>
      </c>
      <c r="M127" s="169">
        <v>13.599999999999968</v>
      </c>
      <c r="N127" s="168" t="s">
        <v>112</v>
      </c>
      <c r="O127" s="201">
        <v>1.8500000000000014</v>
      </c>
    </row>
    <row r="128" spans="2:15">
      <c r="B128" s="211" t="s">
        <v>95</v>
      </c>
      <c r="C128" s="275"/>
      <c r="D128" s="254"/>
      <c r="E128" s="171" t="s">
        <v>112</v>
      </c>
      <c r="F128" s="164">
        <v>13.809999999999969</v>
      </c>
      <c r="G128" s="216">
        <v>1.0000000000000007</v>
      </c>
      <c r="H128" s="163" t="s">
        <v>112</v>
      </c>
      <c r="I128" s="165">
        <v>92.109999999999047</v>
      </c>
      <c r="J128" s="218">
        <v>1.0000000000000007</v>
      </c>
      <c r="K128" s="213">
        <v>-5.0999999999980457</v>
      </c>
      <c r="L128" s="171" t="s">
        <v>112</v>
      </c>
      <c r="M128" s="164">
        <v>13.299999999999969</v>
      </c>
      <c r="N128" s="168" t="s">
        <v>112</v>
      </c>
      <c r="O128" s="201">
        <v>1.8100000000000014</v>
      </c>
    </row>
    <row r="129" spans="2:15">
      <c r="B129" s="144" t="s">
        <v>96</v>
      </c>
      <c r="C129" s="252">
        <v>4</v>
      </c>
      <c r="D129" s="254">
        <v>-25</v>
      </c>
      <c r="E129" s="196">
        <v>2.5100000000000011</v>
      </c>
      <c r="F129" s="163" t="s">
        <v>112</v>
      </c>
      <c r="G129" s="164">
        <v>3.6899999999999653</v>
      </c>
      <c r="H129" s="163" t="s">
        <v>112</v>
      </c>
      <c r="I129" s="165">
        <v>2.6100000000000012</v>
      </c>
      <c r="J129" s="166">
        <v>1.6100000000000012</v>
      </c>
      <c r="K129" s="167">
        <v>-2.3699999999981038</v>
      </c>
      <c r="L129" s="196">
        <v>1.7000000000000004</v>
      </c>
      <c r="M129" s="163" t="s">
        <v>112</v>
      </c>
      <c r="N129" s="169">
        <v>2.0799999999999996</v>
      </c>
      <c r="O129" s="170" t="s">
        <v>112</v>
      </c>
    </row>
    <row r="130" spans="2:15">
      <c r="B130" s="144" t="s">
        <v>95</v>
      </c>
      <c r="C130" s="252"/>
      <c r="D130" s="254"/>
      <c r="E130" s="196">
        <v>2.410000000000001</v>
      </c>
      <c r="F130" s="163" t="s">
        <v>112</v>
      </c>
      <c r="G130" s="164">
        <v>3.609999999999967</v>
      </c>
      <c r="H130" s="163" t="s">
        <v>112</v>
      </c>
      <c r="I130" s="165">
        <v>2.6100000000000012</v>
      </c>
      <c r="J130" s="166">
        <v>1.5700000000000012</v>
      </c>
      <c r="K130" s="167">
        <v>-2.3199999999981049</v>
      </c>
      <c r="L130" s="196">
        <v>1.7000000000000004</v>
      </c>
      <c r="M130" s="163" t="s">
        <v>112</v>
      </c>
      <c r="N130" s="169">
        <v>2.0400000000000005</v>
      </c>
      <c r="O130" s="170" t="s">
        <v>112</v>
      </c>
    </row>
    <row r="131" spans="2:15">
      <c r="B131" s="144" t="s">
        <v>96</v>
      </c>
      <c r="C131" s="252">
        <v>3</v>
      </c>
      <c r="D131" s="254">
        <v>25</v>
      </c>
      <c r="E131" s="196">
        <v>2.5100000000000011</v>
      </c>
      <c r="F131" s="163" t="s">
        <v>112</v>
      </c>
      <c r="G131" s="164">
        <v>3.4199999999999711</v>
      </c>
      <c r="H131" s="163" t="s">
        <v>112</v>
      </c>
      <c r="I131" s="165">
        <v>2.5100000000000011</v>
      </c>
      <c r="J131" s="166">
        <v>1.5500000000000012</v>
      </c>
      <c r="K131" s="167">
        <v>-2.3299999999981047</v>
      </c>
      <c r="L131" s="196">
        <v>1.7000000000000004</v>
      </c>
      <c r="M131" s="163" t="s">
        <v>112</v>
      </c>
      <c r="N131" s="169">
        <v>1.9500000000000015</v>
      </c>
      <c r="O131" s="170" t="s">
        <v>112</v>
      </c>
    </row>
    <row r="132" spans="2:15">
      <c r="B132" s="144" t="s">
        <v>95</v>
      </c>
      <c r="C132" s="252"/>
      <c r="D132" s="254"/>
      <c r="E132" s="196">
        <v>2.410000000000001</v>
      </c>
      <c r="F132" s="163" t="s">
        <v>112</v>
      </c>
      <c r="G132" s="164">
        <v>3.3399999999999728</v>
      </c>
      <c r="H132" s="163" t="s">
        <v>112</v>
      </c>
      <c r="I132" s="165">
        <v>2.410000000000001</v>
      </c>
      <c r="J132" s="166">
        <v>1.5100000000000011</v>
      </c>
      <c r="K132" s="167">
        <v>-2.269999999998106</v>
      </c>
      <c r="L132" s="200">
        <v>1.6000000000000003</v>
      </c>
      <c r="M132" s="168" t="s">
        <v>112</v>
      </c>
      <c r="N132" s="169">
        <v>1.9100000000000015</v>
      </c>
      <c r="O132" s="170" t="s">
        <v>112</v>
      </c>
    </row>
    <row r="133" spans="2:15">
      <c r="B133" s="144" t="s">
        <v>96</v>
      </c>
      <c r="C133" s="252">
        <v>2</v>
      </c>
      <c r="D133" s="254">
        <v>0</v>
      </c>
      <c r="E133" s="196">
        <v>1.9100000000000008</v>
      </c>
      <c r="F133" s="163" t="s">
        <v>112</v>
      </c>
      <c r="G133" s="164">
        <v>7.8399999999998773</v>
      </c>
      <c r="H133" s="163" t="s">
        <v>112</v>
      </c>
      <c r="I133" s="165">
        <v>87.909999999999286</v>
      </c>
      <c r="J133" s="166">
        <v>1.8900000000000015</v>
      </c>
      <c r="K133" s="167">
        <v>-2.2299999999981068</v>
      </c>
      <c r="L133" s="200">
        <v>1.8000000000000005</v>
      </c>
      <c r="M133" s="168" t="s">
        <v>112</v>
      </c>
      <c r="N133" s="169">
        <v>7.5099999999998843</v>
      </c>
      <c r="O133" s="170" t="s">
        <v>112</v>
      </c>
    </row>
    <row r="134" spans="2:15">
      <c r="B134" s="144" t="s">
        <v>95</v>
      </c>
      <c r="C134" s="252"/>
      <c r="D134" s="254"/>
      <c r="E134" s="196">
        <v>1.9100000000000008</v>
      </c>
      <c r="F134" s="163" t="s">
        <v>112</v>
      </c>
      <c r="G134" s="164">
        <v>7.6699999999998809</v>
      </c>
      <c r="H134" s="163" t="s">
        <v>112</v>
      </c>
      <c r="I134" s="165">
        <v>86.009999999999394</v>
      </c>
      <c r="J134" s="166">
        <v>1.8500000000000014</v>
      </c>
      <c r="K134" s="167">
        <v>-2.1799999999981079</v>
      </c>
      <c r="L134" s="200">
        <v>1.8000000000000005</v>
      </c>
      <c r="M134" s="168" t="s">
        <v>112</v>
      </c>
      <c r="N134" s="169">
        <v>7.3499999999998877</v>
      </c>
      <c r="O134" s="170" t="s">
        <v>112</v>
      </c>
    </row>
    <row r="135" spans="2:15">
      <c r="B135" s="144" t="s">
        <v>96</v>
      </c>
      <c r="C135" s="252">
        <v>1</v>
      </c>
      <c r="D135" s="254">
        <v>0</v>
      </c>
      <c r="E135" s="196">
        <v>1.9100000000000008</v>
      </c>
      <c r="F135" s="163" t="s">
        <v>112</v>
      </c>
      <c r="G135" s="164">
        <v>7.6699999999998809</v>
      </c>
      <c r="H135" s="163" t="s">
        <v>112</v>
      </c>
      <c r="I135" s="165">
        <v>86.009999999999394</v>
      </c>
      <c r="J135" s="166">
        <v>1.8500000000000014</v>
      </c>
      <c r="K135" s="167">
        <v>-2.1799999999981079</v>
      </c>
      <c r="L135" s="200">
        <v>1.8000000000000005</v>
      </c>
      <c r="M135" s="168" t="s">
        <v>112</v>
      </c>
      <c r="N135" s="169">
        <v>7.3499999999998877</v>
      </c>
      <c r="O135" s="170" t="s">
        <v>112</v>
      </c>
    </row>
    <row r="136" spans="2:15" ht="17" thickBot="1">
      <c r="B136" s="145" t="s">
        <v>95</v>
      </c>
      <c r="C136" s="253"/>
      <c r="D136" s="255"/>
      <c r="E136" s="198">
        <v>1.8100000000000007</v>
      </c>
      <c r="F136" s="189" t="s">
        <v>112</v>
      </c>
      <c r="G136" s="199">
        <v>7.5099999999998843</v>
      </c>
      <c r="H136" s="189" t="s">
        <v>112</v>
      </c>
      <c r="I136" s="190">
        <v>84.109999999999502</v>
      </c>
      <c r="J136" s="176">
        <v>1.8100000000000014</v>
      </c>
      <c r="K136" s="177">
        <v>-2.1399999999981087</v>
      </c>
      <c r="L136" s="202">
        <v>1.8000000000000005</v>
      </c>
      <c r="M136" s="179" t="s">
        <v>112</v>
      </c>
      <c r="N136" s="178">
        <v>7.1899999999998911</v>
      </c>
      <c r="O136" s="191" t="s">
        <v>112</v>
      </c>
    </row>
  </sheetData>
  <mergeCells count="128">
    <mergeCell ref="C70:C71"/>
    <mergeCell ref="D70:D71"/>
    <mergeCell ref="C72:C73"/>
    <mergeCell ref="D72:D73"/>
    <mergeCell ref="C80:C81"/>
    <mergeCell ref="D80:D81"/>
    <mergeCell ref="C74:C75"/>
    <mergeCell ref="D74:D75"/>
    <mergeCell ref="C76:C77"/>
    <mergeCell ref="D76:D77"/>
    <mergeCell ref="C78:C79"/>
    <mergeCell ref="D78:D79"/>
    <mergeCell ref="D62:D63"/>
    <mergeCell ref="C64:C65"/>
    <mergeCell ref="D64:D65"/>
    <mergeCell ref="C66:C67"/>
    <mergeCell ref="D66:D67"/>
    <mergeCell ref="C68:C69"/>
    <mergeCell ref="D68:D69"/>
    <mergeCell ref="C60:C61"/>
    <mergeCell ref="D60:D61"/>
    <mergeCell ref="E2:G2"/>
    <mergeCell ref="B30:C30"/>
    <mergeCell ref="C31:C32"/>
    <mergeCell ref="D31:D32"/>
    <mergeCell ref="C33:C34"/>
    <mergeCell ref="D33:D34"/>
    <mergeCell ref="C18:C19"/>
    <mergeCell ref="D18:D19"/>
    <mergeCell ref="C20:C21"/>
    <mergeCell ref="D20:D21"/>
    <mergeCell ref="C22:C23"/>
    <mergeCell ref="D22:D23"/>
    <mergeCell ref="D6:D7"/>
    <mergeCell ref="C8:C9"/>
    <mergeCell ref="D8:D9"/>
    <mergeCell ref="C10:C11"/>
    <mergeCell ref="C14:C15"/>
    <mergeCell ref="D14:D15"/>
    <mergeCell ref="C16:C17"/>
    <mergeCell ref="D16:D17"/>
    <mergeCell ref="D10:D11"/>
    <mergeCell ref="C12:C13"/>
    <mergeCell ref="D12:D13"/>
    <mergeCell ref="B3:C3"/>
    <mergeCell ref="C4:C5"/>
    <mergeCell ref="D4:D5"/>
    <mergeCell ref="C6:C7"/>
    <mergeCell ref="B84:C84"/>
    <mergeCell ref="C85:C86"/>
    <mergeCell ref="D85:D86"/>
    <mergeCell ref="C87:C88"/>
    <mergeCell ref="D87:D88"/>
    <mergeCell ref="C24:C25"/>
    <mergeCell ref="D24:D25"/>
    <mergeCell ref="C26:C27"/>
    <mergeCell ref="D26:D27"/>
    <mergeCell ref="C35:C36"/>
    <mergeCell ref="D35:D36"/>
    <mergeCell ref="C37:C38"/>
    <mergeCell ref="D37:D38"/>
    <mergeCell ref="C39:C40"/>
    <mergeCell ref="D39:D40"/>
    <mergeCell ref="C41:C42"/>
    <mergeCell ref="D41:D42"/>
    <mergeCell ref="C43:C44"/>
    <mergeCell ref="D43:D44"/>
    <mergeCell ref="C45:C46"/>
    <mergeCell ref="D45:D46"/>
    <mergeCell ref="C47:C48"/>
    <mergeCell ref="C95:C96"/>
    <mergeCell ref="D95:D96"/>
    <mergeCell ref="C97:C98"/>
    <mergeCell ref="D97:D98"/>
    <mergeCell ref="C99:C100"/>
    <mergeCell ref="D99:D100"/>
    <mergeCell ref="C89:C90"/>
    <mergeCell ref="D89:D90"/>
    <mergeCell ref="C91:C92"/>
    <mergeCell ref="D91:D92"/>
    <mergeCell ref="C93:C94"/>
    <mergeCell ref="D93:D94"/>
    <mergeCell ref="D47:D48"/>
    <mergeCell ref="C49:C50"/>
    <mergeCell ref="D49:D50"/>
    <mergeCell ref="C51:C52"/>
    <mergeCell ref="D51:D52"/>
    <mergeCell ref="C53:C54"/>
    <mergeCell ref="D53:D54"/>
    <mergeCell ref="B57:C57"/>
    <mergeCell ref="C58:C59"/>
    <mergeCell ref="D58:D59"/>
    <mergeCell ref="C62:C63"/>
    <mergeCell ref="C107:C108"/>
    <mergeCell ref="D107:D108"/>
    <mergeCell ref="B112:C112"/>
    <mergeCell ref="C113:C114"/>
    <mergeCell ref="D113:D114"/>
    <mergeCell ref="C101:C102"/>
    <mergeCell ref="D101:D102"/>
    <mergeCell ref="C103:C104"/>
    <mergeCell ref="D103:D104"/>
    <mergeCell ref="C105:C106"/>
    <mergeCell ref="D105:D106"/>
    <mergeCell ref="L111:O111"/>
    <mergeCell ref="C133:C134"/>
    <mergeCell ref="D133:D134"/>
    <mergeCell ref="C135:C136"/>
    <mergeCell ref="D135:D136"/>
    <mergeCell ref="E111:I111"/>
    <mergeCell ref="C127:C128"/>
    <mergeCell ref="D127:D128"/>
    <mergeCell ref="C129:C130"/>
    <mergeCell ref="D129:D130"/>
    <mergeCell ref="C131:C132"/>
    <mergeCell ref="D131:D132"/>
    <mergeCell ref="C121:C122"/>
    <mergeCell ref="D121:D122"/>
    <mergeCell ref="C123:C124"/>
    <mergeCell ref="D123:D124"/>
    <mergeCell ref="C125:C126"/>
    <mergeCell ref="D125:D126"/>
    <mergeCell ref="C115:C116"/>
    <mergeCell ref="D115:D116"/>
    <mergeCell ref="C117:C118"/>
    <mergeCell ref="D117:D118"/>
    <mergeCell ref="C119:C120"/>
    <mergeCell ref="D119:D120"/>
  </mergeCells>
  <pageMargins left="0.7" right="0.7" top="0.75" bottom="0.75" header="0.3" footer="0.3"/>
  <pageSetup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le7"/>
  <dimension ref="B3:S106"/>
  <sheetViews>
    <sheetView showGridLines="0" workbookViewId="0">
      <selection activeCell="L85" sqref="L85"/>
    </sheetView>
  </sheetViews>
  <sheetFormatPr baseColWidth="10" defaultRowHeight="16"/>
  <cols>
    <col min="3" max="5" width="5.83203125" customWidth="1"/>
  </cols>
  <sheetData>
    <row r="3" spans="2:19" ht="17" thickBot="1">
      <c r="D3" s="51"/>
      <c r="I3" s="68" t="s">
        <v>106</v>
      </c>
      <c r="N3" s="68" t="s">
        <v>118</v>
      </c>
      <c r="P3" s="68" t="s">
        <v>121</v>
      </c>
    </row>
    <row r="4" spans="2:19" ht="19">
      <c r="C4" s="263" t="s">
        <v>97</v>
      </c>
      <c r="D4" s="264"/>
      <c r="E4" s="147" t="s">
        <v>100</v>
      </c>
      <c r="F4" s="148" t="s">
        <v>115</v>
      </c>
      <c r="G4" s="146" t="s">
        <v>116</v>
      </c>
      <c r="H4" s="147" t="s">
        <v>117</v>
      </c>
      <c r="I4" s="148" t="s">
        <v>107</v>
      </c>
      <c r="J4" s="146" t="s">
        <v>108</v>
      </c>
      <c r="K4" s="146" t="s">
        <v>109</v>
      </c>
      <c r="L4" s="146" t="s">
        <v>110</v>
      </c>
      <c r="M4" s="147" t="s">
        <v>111</v>
      </c>
      <c r="N4" s="157" t="s">
        <v>120</v>
      </c>
      <c r="O4" s="158" t="s">
        <v>119</v>
      </c>
      <c r="P4" s="157" t="s">
        <v>122</v>
      </c>
      <c r="Q4" s="159" t="s">
        <v>123</v>
      </c>
      <c r="R4" s="159" t="s">
        <v>124</v>
      </c>
      <c r="S4" s="160" t="s">
        <v>125</v>
      </c>
    </row>
    <row r="5" spans="2:19">
      <c r="C5" s="144" t="s">
        <v>96</v>
      </c>
      <c r="D5" s="257">
        <v>12</v>
      </c>
      <c r="E5" s="268">
        <v>0</v>
      </c>
      <c r="F5" s="142">
        <v>-0.27740802744316251</v>
      </c>
      <c r="G5" s="113">
        <v>-1.8372015587362531E-3</v>
      </c>
      <c r="H5" s="149">
        <v>2.9165659120366382E-4</v>
      </c>
      <c r="I5" s="219" t="s">
        <v>112</v>
      </c>
      <c r="J5" s="220">
        <v>5.3999999999999293</v>
      </c>
      <c r="K5" s="220" t="s">
        <v>112</v>
      </c>
      <c r="L5" s="220">
        <v>133.89000000002321</v>
      </c>
      <c r="M5" s="221">
        <v>233.14999999993293</v>
      </c>
      <c r="N5" s="222">
        <v>6.3199999999999097</v>
      </c>
      <c r="O5" s="223">
        <v>-5.0899999999980459</v>
      </c>
      <c r="P5" s="222" t="s">
        <v>112</v>
      </c>
      <c r="Q5" s="224">
        <v>5.3999999999999293</v>
      </c>
      <c r="R5" s="224" t="s">
        <v>112</v>
      </c>
      <c r="S5" s="225">
        <v>124.45000000002676</v>
      </c>
    </row>
    <row r="6" spans="2:19">
      <c r="C6" s="144" t="s">
        <v>95</v>
      </c>
      <c r="D6" s="258"/>
      <c r="E6" s="259"/>
      <c r="F6" s="142">
        <v>-0.27125240176836696</v>
      </c>
      <c r="G6" s="113">
        <v>-1.7963463349842529E-3</v>
      </c>
      <c r="H6" s="149">
        <v>2.8531623077178957E-4</v>
      </c>
      <c r="I6" s="219" t="s">
        <v>112</v>
      </c>
      <c r="J6" s="220">
        <v>5.5199999999999267</v>
      </c>
      <c r="K6" s="220" t="s">
        <v>112</v>
      </c>
      <c r="L6" s="220">
        <v>136.94000000002043</v>
      </c>
      <c r="M6" s="221">
        <v>238.32999999992822</v>
      </c>
      <c r="N6" s="222">
        <v>6.4599999999999067</v>
      </c>
      <c r="O6" s="223">
        <v>-5.2099999999980433</v>
      </c>
      <c r="P6" s="222" t="s">
        <v>112</v>
      </c>
      <c r="Q6" s="224">
        <v>5.5199999999999267</v>
      </c>
      <c r="R6" s="224" t="s">
        <v>112</v>
      </c>
      <c r="S6" s="225">
        <v>127.2700000000282</v>
      </c>
    </row>
    <row r="7" spans="2:19">
      <c r="C7" s="144" t="s">
        <v>96</v>
      </c>
      <c r="D7" s="257">
        <v>11</v>
      </c>
      <c r="E7" s="268">
        <v>0</v>
      </c>
      <c r="F7" s="142">
        <v>-0.27125238929363499</v>
      </c>
      <c r="G7" s="113">
        <v>-1.7963462521887758E-3</v>
      </c>
      <c r="H7" s="149">
        <v>2.8531621792268188E-4</v>
      </c>
      <c r="I7" s="219" t="s">
        <v>112</v>
      </c>
      <c r="J7" s="220">
        <v>5.5199999999999267</v>
      </c>
      <c r="K7" s="220" t="s">
        <v>112</v>
      </c>
      <c r="L7" s="220">
        <v>136.94000000002043</v>
      </c>
      <c r="M7" s="221">
        <v>238.32999999992822</v>
      </c>
      <c r="N7" s="222">
        <v>6.4599999999999067</v>
      </c>
      <c r="O7" s="223">
        <v>-5.2099999999980433</v>
      </c>
      <c r="P7" s="222" t="s">
        <v>112</v>
      </c>
      <c r="Q7" s="224">
        <v>5.5199999999999267</v>
      </c>
      <c r="R7" s="224" t="s">
        <v>112</v>
      </c>
      <c r="S7" s="225">
        <v>127.2700000000282</v>
      </c>
    </row>
    <row r="8" spans="2:19">
      <c r="C8" s="144" t="s">
        <v>95</v>
      </c>
      <c r="D8" s="258"/>
      <c r="E8" s="259"/>
      <c r="F8" s="142">
        <v>-0.26509676361883938</v>
      </c>
      <c r="G8" s="113">
        <v>-1.7554910284367773E-3</v>
      </c>
      <c r="H8" s="149">
        <v>2.7897585749080763E-4</v>
      </c>
      <c r="I8" s="219" t="s">
        <v>112</v>
      </c>
      <c r="J8" s="220">
        <v>5.649999999999924</v>
      </c>
      <c r="K8" s="220" t="s">
        <v>112</v>
      </c>
      <c r="L8" s="220">
        <v>140.13000000001753</v>
      </c>
      <c r="M8" s="221">
        <v>243.7399999999233</v>
      </c>
      <c r="N8" s="222">
        <v>6.6099999999999035</v>
      </c>
      <c r="O8" s="223">
        <v>-5.3299999999980407</v>
      </c>
      <c r="P8" s="222" t="s">
        <v>112</v>
      </c>
      <c r="Q8" s="224">
        <v>5.649999999999924</v>
      </c>
      <c r="R8" s="224" t="s">
        <v>112</v>
      </c>
      <c r="S8" s="225">
        <v>130.23000000002654</v>
      </c>
    </row>
    <row r="9" spans="2:19">
      <c r="C9" s="144" t="s">
        <v>96</v>
      </c>
      <c r="D9" s="257">
        <v>10</v>
      </c>
      <c r="E9" s="268">
        <v>25</v>
      </c>
      <c r="F9" s="142">
        <v>-0.2080565754493606</v>
      </c>
      <c r="G9" s="113">
        <v>-4.1304047103845765E-3</v>
      </c>
      <c r="H9" s="149">
        <v>9.525238234777968E-3</v>
      </c>
      <c r="I9" s="219" t="s">
        <v>112</v>
      </c>
      <c r="J9" s="220">
        <v>7.1999999999998909</v>
      </c>
      <c r="K9" s="220" t="s">
        <v>112</v>
      </c>
      <c r="L9" s="220">
        <v>59.549999999996722</v>
      </c>
      <c r="M9" s="221">
        <v>7.1299999999998924</v>
      </c>
      <c r="N9" s="222">
        <v>6.7399999999999007</v>
      </c>
      <c r="O9" s="223">
        <v>-4.2699999999980633</v>
      </c>
      <c r="P9" s="222" t="s">
        <v>112</v>
      </c>
      <c r="Q9" s="224">
        <v>7.1999999999998909</v>
      </c>
      <c r="R9" s="224" t="s">
        <v>112</v>
      </c>
      <c r="S9" s="225">
        <v>7.9599999999998747</v>
      </c>
    </row>
    <row r="10" spans="2:19">
      <c r="C10" s="144" t="s">
        <v>95</v>
      </c>
      <c r="D10" s="258"/>
      <c r="E10" s="259"/>
      <c r="F10" s="142">
        <v>-0.20322383491802753</v>
      </c>
      <c r="G10" s="113">
        <v>-4.0344701213654594E-3</v>
      </c>
      <c r="H10" s="149">
        <v>9.3041977393817921E-3</v>
      </c>
      <c r="I10" s="219" t="s">
        <v>112</v>
      </c>
      <c r="J10" s="220">
        <v>7.3799999999998871</v>
      </c>
      <c r="K10" s="220" t="s">
        <v>112</v>
      </c>
      <c r="L10" s="220">
        <v>60.969999999996439</v>
      </c>
      <c r="M10" s="221">
        <v>7.2999999999998888</v>
      </c>
      <c r="N10" s="222">
        <v>6.8999999999998973</v>
      </c>
      <c r="O10" s="223">
        <v>-4.3699999999980612</v>
      </c>
      <c r="P10" s="222" t="s">
        <v>112</v>
      </c>
      <c r="Q10" s="224">
        <v>7.3799999999998871</v>
      </c>
      <c r="R10" s="224" t="s">
        <v>112</v>
      </c>
      <c r="S10" s="225">
        <v>8.1499999999998707</v>
      </c>
    </row>
    <row r="11" spans="2:19">
      <c r="C11" s="144" t="s">
        <v>96</v>
      </c>
      <c r="D11" s="257">
        <v>9</v>
      </c>
      <c r="E11" s="268">
        <v>-25</v>
      </c>
      <c r="F11" s="142">
        <v>-0.20843531686208219</v>
      </c>
      <c r="G11" s="113">
        <v>-3.8174853622370206E-3</v>
      </c>
      <c r="H11" s="149">
        <v>-8.9537038551621047E-3</v>
      </c>
      <c r="I11" s="219" t="s">
        <v>112</v>
      </c>
      <c r="J11" s="220">
        <v>7.1899999999998911</v>
      </c>
      <c r="K11" s="220" t="s">
        <v>112</v>
      </c>
      <c r="L11" s="220">
        <v>64.439999999996061</v>
      </c>
      <c r="M11" s="221">
        <v>7.5899999999998826</v>
      </c>
      <c r="N11" s="222">
        <v>6.869999999999898</v>
      </c>
      <c r="O11" s="223">
        <v>-4.4399999999980597</v>
      </c>
      <c r="P11" s="219" t="s">
        <v>112</v>
      </c>
      <c r="Q11" s="220">
        <v>7.1899999999998911</v>
      </c>
      <c r="R11" s="224" t="s">
        <v>112</v>
      </c>
      <c r="S11" s="225">
        <v>8.4599999999998641</v>
      </c>
    </row>
    <row r="12" spans="2:19">
      <c r="C12" s="144" t="s">
        <v>95</v>
      </c>
      <c r="D12" s="258"/>
      <c r="E12" s="259"/>
      <c r="F12" s="142">
        <v>-0.20348137884687684</v>
      </c>
      <c r="G12" s="113">
        <v>-3.7265969259520615E-3</v>
      </c>
      <c r="H12" s="149">
        <v>-8.740814370019041E-3</v>
      </c>
      <c r="I12" s="219" t="s">
        <v>112</v>
      </c>
      <c r="J12" s="220">
        <v>7.3699999999998873</v>
      </c>
      <c r="K12" s="220" t="s">
        <v>112</v>
      </c>
      <c r="L12" s="220">
        <v>66.009999999996865</v>
      </c>
      <c r="M12" s="221">
        <v>7.7699999999998788</v>
      </c>
      <c r="N12" s="222">
        <v>7.0399999999998943</v>
      </c>
      <c r="O12" s="223">
        <v>-4.5499999999980574</v>
      </c>
      <c r="P12" s="219" t="s">
        <v>112</v>
      </c>
      <c r="Q12" s="220">
        <v>7.3699999999998873</v>
      </c>
      <c r="R12" s="224" t="s">
        <v>112</v>
      </c>
      <c r="S12" s="225">
        <v>8.6599999999998598</v>
      </c>
    </row>
    <row r="13" spans="2:19">
      <c r="B13" s="282"/>
      <c r="C13" s="247" t="s">
        <v>96</v>
      </c>
      <c r="D13" s="265">
        <v>8</v>
      </c>
      <c r="E13" s="269">
        <v>90</v>
      </c>
      <c r="F13" s="142">
        <v>3.7513931840031114E-2</v>
      </c>
      <c r="G13" s="113">
        <v>-1.3760627074636453E-2</v>
      </c>
      <c r="H13" s="149">
        <v>-2.662951453191011E-4</v>
      </c>
      <c r="I13" s="219">
        <v>39.980000000000615</v>
      </c>
      <c r="J13" s="220" t="s">
        <v>112</v>
      </c>
      <c r="K13" s="220" t="s">
        <v>112</v>
      </c>
      <c r="L13" s="220">
        <v>17.869999999999994</v>
      </c>
      <c r="M13" s="221">
        <v>255.34999999991274</v>
      </c>
      <c r="N13" s="219">
        <v>15.159999999999721</v>
      </c>
      <c r="O13" s="245">
        <v>-2.829999999998094</v>
      </c>
      <c r="P13" s="219">
        <v>39.500000000000711</v>
      </c>
      <c r="Q13" s="220" t="s">
        <v>112</v>
      </c>
      <c r="R13" s="244">
        <v>2.8999999999999821</v>
      </c>
      <c r="S13" s="246" t="s">
        <v>112</v>
      </c>
    </row>
    <row r="14" spans="2:19">
      <c r="B14" s="282"/>
      <c r="C14" s="144" t="s">
        <v>95</v>
      </c>
      <c r="D14" s="266"/>
      <c r="E14" s="270"/>
      <c r="F14" s="142">
        <v>3.6602129644149189E-2</v>
      </c>
      <c r="G14" s="113">
        <v>-1.3425513922967007E-2</v>
      </c>
      <c r="H14" s="149">
        <v>-2.5995478488722684E-4</v>
      </c>
      <c r="I14" s="219">
        <v>40.980000000000416</v>
      </c>
      <c r="J14" s="220" t="s">
        <v>112</v>
      </c>
      <c r="K14" s="220" t="s">
        <v>112</v>
      </c>
      <c r="L14" s="220">
        <v>18.320000000000064</v>
      </c>
      <c r="M14" s="221">
        <v>261.5799999999071</v>
      </c>
      <c r="N14" s="222">
        <v>15.529999999999713</v>
      </c>
      <c r="O14" s="223">
        <v>-2.8999999999980925</v>
      </c>
      <c r="P14" s="219">
        <v>40.480000000000516</v>
      </c>
      <c r="Q14" s="220" t="s">
        <v>112</v>
      </c>
      <c r="R14" s="224">
        <v>2.9699999999999807</v>
      </c>
      <c r="S14" s="225" t="s">
        <v>112</v>
      </c>
    </row>
    <row r="15" spans="2:19">
      <c r="C15" s="144" t="s">
        <v>96</v>
      </c>
      <c r="D15" s="257">
        <v>7</v>
      </c>
      <c r="E15" s="268">
        <v>90</v>
      </c>
      <c r="F15" s="142">
        <v>3.660212779632923E-2</v>
      </c>
      <c r="G15" s="113">
        <v>-1.3425513243840795E-2</v>
      </c>
      <c r="H15" s="149">
        <v>-2.5995477203811921E-4</v>
      </c>
      <c r="I15" s="219">
        <v>40.980000000000416</v>
      </c>
      <c r="J15" s="220" t="s">
        <v>112</v>
      </c>
      <c r="K15" s="220" t="s">
        <v>112</v>
      </c>
      <c r="L15" s="220">
        <v>18.320000000000064</v>
      </c>
      <c r="M15" s="221">
        <v>261.5799999999071</v>
      </c>
      <c r="N15" s="222">
        <v>15.529999999999713</v>
      </c>
      <c r="O15" s="223">
        <v>-2.8999999999980925</v>
      </c>
      <c r="P15" s="219">
        <v>40.480000000000516</v>
      </c>
      <c r="Q15" s="220" t="s">
        <v>112</v>
      </c>
      <c r="R15" s="224">
        <v>2.9699999999999807</v>
      </c>
      <c r="S15" s="225" t="s">
        <v>112</v>
      </c>
    </row>
    <row r="16" spans="2:19" ht="17" thickBot="1">
      <c r="C16" s="145" t="s">
        <v>95</v>
      </c>
      <c r="D16" s="267"/>
      <c r="E16" s="271"/>
      <c r="F16" s="143">
        <v>3.5690325600447298E-2</v>
      </c>
      <c r="G16" s="141">
        <v>-1.3090400092171344E-2</v>
      </c>
      <c r="H16" s="150">
        <v>-2.5361441160624501E-4</v>
      </c>
      <c r="I16" s="226">
        <v>42.020000000000209</v>
      </c>
      <c r="J16" s="227" t="s">
        <v>112</v>
      </c>
      <c r="K16" s="227" t="s">
        <v>112</v>
      </c>
      <c r="L16" s="227">
        <v>18.790000000000138</v>
      </c>
      <c r="M16" s="228">
        <v>268.11999999990115</v>
      </c>
      <c r="N16" s="229">
        <v>15.929999999999705</v>
      </c>
      <c r="O16" s="230">
        <v>-2.9699999999980911</v>
      </c>
      <c r="P16" s="229">
        <v>41.520000000000309</v>
      </c>
      <c r="Q16" s="231" t="s">
        <v>112</v>
      </c>
      <c r="R16" s="231">
        <v>3.049999999999979</v>
      </c>
      <c r="S16" s="232" t="s">
        <v>112</v>
      </c>
    </row>
    <row r="17" spans="3:19">
      <c r="C17" s="151" t="s">
        <v>96</v>
      </c>
      <c r="D17" s="258">
        <v>6</v>
      </c>
      <c r="E17" s="259">
        <v>90</v>
      </c>
      <c r="F17" s="152">
        <v>-3.725384843967737E-2</v>
      </c>
      <c r="G17" s="153">
        <v>1.371865144215547E-2</v>
      </c>
      <c r="H17" s="154">
        <v>2.5361441160624495E-4</v>
      </c>
      <c r="I17" s="233" t="s">
        <v>112</v>
      </c>
      <c r="J17" s="234">
        <v>40.260000000000559</v>
      </c>
      <c r="K17" s="234">
        <v>2.9099999999999819</v>
      </c>
      <c r="L17" s="234" t="s">
        <v>112</v>
      </c>
      <c r="M17" s="235">
        <v>268.11999999990115</v>
      </c>
      <c r="N17" s="236">
        <v>2.8299999999999836</v>
      </c>
      <c r="O17" s="237">
        <v>-15.21999999999783</v>
      </c>
      <c r="P17" s="236" t="s">
        <v>112</v>
      </c>
      <c r="Q17" s="238">
        <v>40.260000000000559</v>
      </c>
      <c r="R17" s="238" t="s">
        <v>112</v>
      </c>
      <c r="S17" s="239">
        <v>5.4699999999999278</v>
      </c>
    </row>
    <row r="18" spans="3:19">
      <c r="C18" s="144" t="s">
        <v>95</v>
      </c>
      <c r="D18" s="252"/>
      <c r="E18" s="254"/>
      <c r="F18" s="142">
        <v>-3.8165650635559295E-2</v>
      </c>
      <c r="G18" s="113">
        <v>1.4053764593824921E-2</v>
      </c>
      <c r="H18" s="149">
        <v>2.5995477203811916E-4</v>
      </c>
      <c r="I18" s="219" t="s">
        <v>112</v>
      </c>
      <c r="J18" s="220">
        <v>39.30000000000075</v>
      </c>
      <c r="K18" s="220">
        <v>2.8399999999999834</v>
      </c>
      <c r="L18" s="220" t="s">
        <v>112</v>
      </c>
      <c r="M18" s="221">
        <v>261.5799999999071</v>
      </c>
      <c r="N18" s="222">
        <v>2.7599999999999851</v>
      </c>
      <c r="O18" s="223">
        <v>-14.859999999997838</v>
      </c>
      <c r="P18" s="222" t="s">
        <v>112</v>
      </c>
      <c r="Q18" s="224">
        <v>39.30000000000075</v>
      </c>
      <c r="R18" s="224" t="s">
        <v>112</v>
      </c>
      <c r="S18" s="225">
        <v>5.3399999999999306</v>
      </c>
    </row>
    <row r="19" spans="3:19">
      <c r="C19" s="144" t="s">
        <v>96</v>
      </c>
      <c r="D19" s="260">
        <v>5</v>
      </c>
      <c r="E19" s="261">
        <v>90</v>
      </c>
      <c r="F19" s="142">
        <v>-3.8165652483379255E-2</v>
      </c>
      <c r="G19" s="113">
        <v>1.4053765272951133E-2</v>
      </c>
      <c r="H19" s="149">
        <v>2.5995478488722678E-4</v>
      </c>
      <c r="I19" s="219" t="s">
        <v>112</v>
      </c>
      <c r="J19" s="220">
        <v>39.30000000000075</v>
      </c>
      <c r="K19" s="220">
        <v>2.8399999999999834</v>
      </c>
      <c r="L19" s="220" t="s">
        <v>112</v>
      </c>
      <c r="M19" s="221">
        <v>261.5799999999071</v>
      </c>
      <c r="N19" s="222">
        <v>2.7599999999999851</v>
      </c>
      <c r="O19" s="223">
        <v>-14.859999999997838</v>
      </c>
      <c r="P19" s="222" t="s">
        <v>112</v>
      </c>
      <c r="Q19" s="224">
        <v>39.30000000000075</v>
      </c>
      <c r="R19" s="224" t="s">
        <v>112</v>
      </c>
      <c r="S19" s="225">
        <v>5.3399999999999306</v>
      </c>
    </row>
    <row r="20" spans="3:19">
      <c r="C20" s="247" t="s">
        <v>95</v>
      </c>
      <c r="D20" s="260"/>
      <c r="E20" s="261"/>
      <c r="F20" s="142">
        <v>-3.9077454679261187E-2</v>
      </c>
      <c r="G20" s="113">
        <v>1.4388878424620579E-2</v>
      </c>
      <c r="H20" s="149">
        <v>2.6629514531910099E-4</v>
      </c>
      <c r="I20" s="219" t="s">
        <v>112</v>
      </c>
      <c r="J20" s="220">
        <v>38.380000000000933</v>
      </c>
      <c r="K20" s="244">
        <v>2.7699999999999849</v>
      </c>
      <c r="L20" s="220" t="s">
        <v>112</v>
      </c>
      <c r="M20" s="221">
        <v>255.34999999991274</v>
      </c>
      <c r="N20" s="243">
        <v>2.6999999999999864</v>
      </c>
      <c r="O20" s="221">
        <v>-14.509999999997845</v>
      </c>
      <c r="P20" s="219" t="s">
        <v>112</v>
      </c>
      <c r="Q20" s="220">
        <v>38.380000000000933</v>
      </c>
      <c r="R20" s="224" t="s">
        <v>112</v>
      </c>
      <c r="S20" s="225">
        <v>5.2199999999999331</v>
      </c>
    </row>
    <row r="21" spans="3:19">
      <c r="C21" s="144" t="s">
        <v>96</v>
      </c>
      <c r="D21" s="252">
        <v>4</v>
      </c>
      <c r="E21" s="254">
        <v>-25</v>
      </c>
      <c r="F21" s="142">
        <v>0.21264940882009967</v>
      </c>
      <c r="G21" s="113">
        <v>3.908031619054432E-3</v>
      </c>
      <c r="H21" s="149">
        <v>9.1419021409036728E-3</v>
      </c>
      <c r="I21" s="219">
        <v>7.0499999999998941</v>
      </c>
      <c r="J21" s="220" t="s">
        <v>112</v>
      </c>
      <c r="K21" s="220">
        <v>10.229999999999826</v>
      </c>
      <c r="L21" s="220" t="s">
        <v>112</v>
      </c>
      <c r="M21" s="221">
        <v>7.429999999999886</v>
      </c>
      <c r="N21" s="222">
        <v>4.3399999999999519</v>
      </c>
      <c r="O21" s="223">
        <v>-6.7499999999980105</v>
      </c>
      <c r="P21" s="219">
        <v>5.1099999999999355</v>
      </c>
      <c r="Q21" s="220" t="s">
        <v>112</v>
      </c>
      <c r="R21" s="224">
        <v>6.0099999999999163</v>
      </c>
      <c r="S21" s="225" t="s">
        <v>112</v>
      </c>
    </row>
    <row r="22" spans="3:19">
      <c r="C22" s="144" t="s">
        <v>95</v>
      </c>
      <c r="D22" s="252"/>
      <c r="E22" s="254"/>
      <c r="F22" s="142">
        <v>0.21760334683530505</v>
      </c>
      <c r="G22" s="113">
        <v>3.9989200553393915E-3</v>
      </c>
      <c r="H22" s="149">
        <v>9.3547916260467399E-3</v>
      </c>
      <c r="I22" s="219">
        <v>6.8899999999998975</v>
      </c>
      <c r="J22" s="220" t="s">
        <v>112</v>
      </c>
      <c r="K22" s="220">
        <v>9.9999999999998312</v>
      </c>
      <c r="L22" s="220" t="s">
        <v>112</v>
      </c>
      <c r="M22" s="221">
        <v>7.2599999999998897</v>
      </c>
      <c r="N22" s="222">
        <v>4.239999999999954</v>
      </c>
      <c r="O22" s="223">
        <v>-6.5999999999980137</v>
      </c>
      <c r="P22" s="219">
        <v>4.9999999999999378</v>
      </c>
      <c r="Q22" s="220" t="s">
        <v>112</v>
      </c>
      <c r="R22" s="224">
        <v>5.8799999999999191</v>
      </c>
      <c r="S22" s="225" t="s">
        <v>112</v>
      </c>
    </row>
    <row r="23" spans="3:19">
      <c r="C23" s="144" t="s">
        <v>96</v>
      </c>
      <c r="D23" s="252">
        <v>3</v>
      </c>
      <c r="E23" s="254">
        <v>25</v>
      </c>
      <c r="F23" s="142">
        <v>0.21239186489125039</v>
      </c>
      <c r="G23" s="113">
        <v>4.2159048144678312E-3</v>
      </c>
      <c r="H23" s="149">
        <v>-9.7052855102664256E-3</v>
      </c>
      <c r="I23" s="219">
        <v>7.0599999999998939</v>
      </c>
      <c r="J23" s="220" t="s">
        <v>112</v>
      </c>
      <c r="K23" s="220">
        <v>9.4799999999998423</v>
      </c>
      <c r="L23" s="220" t="s">
        <v>112</v>
      </c>
      <c r="M23" s="221">
        <v>6.9999999999998952</v>
      </c>
      <c r="N23" s="222">
        <v>4.1699999999999555</v>
      </c>
      <c r="O23" s="223">
        <v>-6.6199999999980133</v>
      </c>
      <c r="P23" s="219">
        <v>4.9699999999999385</v>
      </c>
      <c r="Q23" s="220" t="s">
        <v>112</v>
      </c>
      <c r="R23" s="224">
        <v>5.6299999999999244</v>
      </c>
      <c r="S23" s="225" t="s">
        <v>112</v>
      </c>
    </row>
    <row r="24" spans="3:19">
      <c r="C24" s="144" t="s">
        <v>95</v>
      </c>
      <c r="D24" s="252"/>
      <c r="E24" s="254"/>
      <c r="F24" s="142">
        <v>0.21722460542258346</v>
      </c>
      <c r="G24" s="113">
        <v>4.3118394034869483E-3</v>
      </c>
      <c r="H24" s="149">
        <v>-9.9263260056626015E-3</v>
      </c>
      <c r="I24" s="219">
        <v>6.8999999999998973</v>
      </c>
      <c r="J24" s="220" t="s">
        <v>112</v>
      </c>
      <c r="K24" s="220">
        <v>9.2699999999998468</v>
      </c>
      <c r="L24" s="220" t="s">
        <v>112</v>
      </c>
      <c r="M24" s="221">
        <v>6.8499999999998984</v>
      </c>
      <c r="N24" s="222">
        <v>4.0799999999999574</v>
      </c>
      <c r="O24" s="223">
        <v>-6.4699999999980164</v>
      </c>
      <c r="P24" s="222">
        <v>4.8599999999999408</v>
      </c>
      <c r="Q24" s="224" t="s">
        <v>112</v>
      </c>
      <c r="R24" s="224">
        <v>5.509999999999927</v>
      </c>
      <c r="S24" s="225" t="s">
        <v>112</v>
      </c>
    </row>
    <row r="25" spans="3:19">
      <c r="C25" s="144" t="s">
        <v>96</v>
      </c>
      <c r="D25" s="252">
        <v>2</v>
      </c>
      <c r="E25" s="254">
        <v>0</v>
      </c>
      <c r="F25" s="142">
        <v>0.27659829282793907</v>
      </c>
      <c r="G25" s="113">
        <v>1.8397686422578796E-3</v>
      </c>
      <c r="H25" s="149">
        <v>-2.7897585749080763E-4</v>
      </c>
      <c r="I25" s="219">
        <v>5.4199999999999289</v>
      </c>
      <c r="J25" s="220" t="s">
        <v>112</v>
      </c>
      <c r="K25" s="220">
        <v>21.740000000000599</v>
      </c>
      <c r="L25" s="220" t="s">
        <v>112</v>
      </c>
      <c r="M25" s="221">
        <v>243.7399999999233</v>
      </c>
      <c r="N25" s="222">
        <v>5.0899999999999359</v>
      </c>
      <c r="O25" s="223">
        <v>-6.349999999998019</v>
      </c>
      <c r="P25" s="222">
        <v>5.4199999999999289</v>
      </c>
      <c r="Q25" s="224" t="s">
        <v>112</v>
      </c>
      <c r="R25" s="224">
        <v>21.650000000000585</v>
      </c>
      <c r="S25" s="225" t="s">
        <v>112</v>
      </c>
    </row>
    <row r="26" spans="3:19">
      <c r="C26" s="144" t="s">
        <v>95</v>
      </c>
      <c r="D26" s="252"/>
      <c r="E26" s="254"/>
      <c r="F26" s="142">
        <v>0.28275391850273462</v>
      </c>
      <c r="G26" s="113">
        <v>1.8806238660098789E-3</v>
      </c>
      <c r="H26" s="149">
        <v>-2.8531621792268188E-4</v>
      </c>
      <c r="I26" s="219">
        <v>5.2999999999999314</v>
      </c>
      <c r="J26" s="220" t="s">
        <v>112</v>
      </c>
      <c r="K26" s="220">
        <v>21.260000000000524</v>
      </c>
      <c r="L26" s="220" t="s">
        <v>112</v>
      </c>
      <c r="M26" s="221">
        <v>238.32999999992822</v>
      </c>
      <c r="N26" s="222">
        <v>4.9799999999999383</v>
      </c>
      <c r="O26" s="223">
        <v>-6.209999999998022</v>
      </c>
      <c r="P26" s="222">
        <v>5.2999999999999314</v>
      </c>
      <c r="Q26" s="224" t="s">
        <v>112</v>
      </c>
      <c r="R26" s="224">
        <v>21.180000000000511</v>
      </c>
      <c r="S26" s="225" t="s">
        <v>112</v>
      </c>
    </row>
    <row r="27" spans="3:19">
      <c r="C27" s="144" t="s">
        <v>96</v>
      </c>
      <c r="D27" s="252">
        <v>1</v>
      </c>
      <c r="E27" s="254">
        <v>0</v>
      </c>
      <c r="F27" s="142">
        <v>0.28275393097746659</v>
      </c>
      <c r="G27" s="113">
        <v>1.8806239488053556E-3</v>
      </c>
      <c r="H27" s="149">
        <v>-2.8531623077178957E-4</v>
      </c>
      <c r="I27" s="219">
        <v>5.2999999999999314</v>
      </c>
      <c r="J27" s="220" t="s">
        <v>112</v>
      </c>
      <c r="K27" s="220">
        <v>21.260000000000524</v>
      </c>
      <c r="L27" s="220" t="s">
        <v>112</v>
      </c>
      <c r="M27" s="221">
        <v>238.32999999992822</v>
      </c>
      <c r="N27" s="222">
        <v>4.9799999999999383</v>
      </c>
      <c r="O27" s="223">
        <v>-6.209999999998022</v>
      </c>
      <c r="P27" s="222">
        <v>5.2999999999999314</v>
      </c>
      <c r="Q27" s="224" t="s">
        <v>112</v>
      </c>
      <c r="R27" s="224">
        <v>21.180000000000511</v>
      </c>
      <c r="S27" s="225" t="s">
        <v>112</v>
      </c>
    </row>
    <row r="28" spans="3:19" ht="17" thickBot="1">
      <c r="C28" s="145" t="s">
        <v>95</v>
      </c>
      <c r="D28" s="253"/>
      <c r="E28" s="255"/>
      <c r="F28" s="143">
        <v>0.2889095566522622</v>
      </c>
      <c r="G28" s="141">
        <v>1.9214791725573558E-3</v>
      </c>
      <c r="H28" s="150">
        <v>-2.9165659120366382E-4</v>
      </c>
      <c r="I28" s="240">
        <v>5.1899999999999338</v>
      </c>
      <c r="J28" s="241" t="s">
        <v>112</v>
      </c>
      <c r="K28" s="241">
        <v>20.810000000000453</v>
      </c>
      <c r="L28" s="241" t="s">
        <v>112</v>
      </c>
      <c r="M28" s="242">
        <v>233.14999999993293</v>
      </c>
      <c r="N28" s="229">
        <v>4.8799999999999404</v>
      </c>
      <c r="O28" s="230">
        <v>-6.0799999999980248</v>
      </c>
      <c r="P28" s="229">
        <v>5.1899999999999338</v>
      </c>
      <c r="Q28" s="231" t="s">
        <v>112</v>
      </c>
      <c r="R28" s="231">
        <v>20.730000000000441</v>
      </c>
      <c r="S28" s="232" t="s">
        <v>112</v>
      </c>
    </row>
    <row r="30" spans="3:19" ht="19">
      <c r="C30" s="281" t="s">
        <v>97</v>
      </c>
      <c r="D30" s="281"/>
      <c r="E30" s="251" t="s">
        <v>100</v>
      </c>
      <c r="F30" s="248" t="s">
        <v>107</v>
      </c>
      <c r="G30" s="248" t="s">
        <v>108</v>
      </c>
      <c r="H30" s="248" t="s">
        <v>109</v>
      </c>
      <c r="I30" s="248" t="s">
        <v>110</v>
      </c>
      <c r="J30" s="248" t="s">
        <v>111</v>
      </c>
    </row>
    <row r="31" spans="3:19">
      <c r="C31" s="250" t="s">
        <v>96</v>
      </c>
      <c r="D31" s="279">
        <v>12</v>
      </c>
      <c r="E31" s="279">
        <v>0</v>
      </c>
      <c r="F31" s="220" t="s">
        <v>112</v>
      </c>
      <c r="G31" s="220">
        <v>5.3999999999999293</v>
      </c>
      <c r="H31" s="220" t="s">
        <v>112</v>
      </c>
      <c r="I31" s="220">
        <v>133.89000000002321</v>
      </c>
      <c r="J31" s="220">
        <v>233.14999999993293</v>
      </c>
    </row>
    <row r="32" spans="3:19">
      <c r="C32" s="250" t="s">
        <v>95</v>
      </c>
      <c r="D32" s="279"/>
      <c r="E32" s="279"/>
      <c r="F32" s="220" t="s">
        <v>112</v>
      </c>
      <c r="G32" s="220">
        <v>5.5199999999999267</v>
      </c>
      <c r="H32" s="220" t="s">
        <v>112</v>
      </c>
      <c r="I32" s="220">
        <v>136.94000000002043</v>
      </c>
      <c r="J32" s="220">
        <v>238.32999999992822</v>
      </c>
    </row>
    <row r="33" spans="3:10">
      <c r="C33" s="250" t="s">
        <v>96</v>
      </c>
      <c r="D33" s="279">
        <v>11</v>
      </c>
      <c r="E33" s="279">
        <v>0</v>
      </c>
      <c r="F33" s="220" t="s">
        <v>112</v>
      </c>
      <c r="G33" s="220">
        <v>5.5199999999999267</v>
      </c>
      <c r="H33" s="220" t="s">
        <v>112</v>
      </c>
      <c r="I33" s="220">
        <v>136.94000000002043</v>
      </c>
      <c r="J33" s="220">
        <v>238.32999999992822</v>
      </c>
    </row>
    <row r="34" spans="3:10">
      <c r="C34" s="250" t="s">
        <v>95</v>
      </c>
      <c r="D34" s="279"/>
      <c r="E34" s="279"/>
      <c r="F34" s="220" t="s">
        <v>112</v>
      </c>
      <c r="G34" s="220">
        <v>5.649999999999924</v>
      </c>
      <c r="H34" s="220" t="s">
        <v>112</v>
      </c>
      <c r="I34" s="220">
        <v>140.13000000001753</v>
      </c>
      <c r="J34" s="220">
        <v>243.7399999999233</v>
      </c>
    </row>
    <row r="35" spans="3:10">
      <c r="C35" s="250" t="s">
        <v>96</v>
      </c>
      <c r="D35" s="279">
        <v>10</v>
      </c>
      <c r="E35" s="279">
        <v>25</v>
      </c>
      <c r="F35" s="220" t="s">
        <v>112</v>
      </c>
      <c r="G35" s="220">
        <v>7.1999999999998909</v>
      </c>
      <c r="H35" s="220" t="s">
        <v>112</v>
      </c>
      <c r="I35" s="220">
        <v>59.549999999996722</v>
      </c>
      <c r="J35" s="220">
        <v>7.1299999999998924</v>
      </c>
    </row>
    <row r="36" spans="3:10">
      <c r="C36" s="250" t="s">
        <v>95</v>
      </c>
      <c r="D36" s="279"/>
      <c r="E36" s="279"/>
      <c r="F36" s="220" t="s">
        <v>112</v>
      </c>
      <c r="G36" s="220">
        <v>7.3799999999998871</v>
      </c>
      <c r="H36" s="220" t="s">
        <v>112</v>
      </c>
      <c r="I36" s="220">
        <v>60.969999999996439</v>
      </c>
      <c r="J36" s="220">
        <v>7.2999999999998888</v>
      </c>
    </row>
    <row r="37" spans="3:10">
      <c r="C37" s="250" t="s">
        <v>96</v>
      </c>
      <c r="D37" s="279">
        <v>9</v>
      </c>
      <c r="E37" s="279">
        <v>-25</v>
      </c>
      <c r="F37" s="220" t="s">
        <v>112</v>
      </c>
      <c r="G37" s="220">
        <v>7.1899999999998911</v>
      </c>
      <c r="H37" s="220" t="s">
        <v>112</v>
      </c>
      <c r="I37" s="220">
        <v>64.439999999996061</v>
      </c>
      <c r="J37" s="220">
        <v>7.5899999999998826</v>
      </c>
    </row>
    <row r="38" spans="3:10">
      <c r="C38" s="250" t="s">
        <v>95</v>
      </c>
      <c r="D38" s="279"/>
      <c r="E38" s="279"/>
      <c r="F38" s="220" t="s">
        <v>112</v>
      </c>
      <c r="G38" s="220">
        <v>7.3699999999998873</v>
      </c>
      <c r="H38" s="220" t="s">
        <v>112</v>
      </c>
      <c r="I38" s="220">
        <v>66.009999999996865</v>
      </c>
      <c r="J38" s="220">
        <v>7.7699999999998788</v>
      </c>
    </row>
    <row r="39" spans="3:10">
      <c r="C39" s="250" t="s">
        <v>96</v>
      </c>
      <c r="D39" s="279">
        <v>8</v>
      </c>
      <c r="E39" s="279">
        <v>90</v>
      </c>
      <c r="F39" s="220">
        <v>39.980000000000615</v>
      </c>
      <c r="G39" s="220" t="s">
        <v>112</v>
      </c>
      <c r="H39" s="220" t="s">
        <v>112</v>
      </c>
      <c r="I39" s="220">
        <v>17.869999999999994</v>
      </c>
      <c r="J39" s="220">
        <v>255.34999999991274</v>
      </c>
    </row>
    <row r="40" spans="3:10">
      <c r="C40" s="250" t="s">
        <v>95</v>
      </c>
      <c r="D40" s="279"/>
      <c r="E40" s="279"/>
      <c r="F40" s="220">
        <v>40.980000000000416</v>
      </c>
      <c r="G40" s="220" t="s">
        <v>112</v>
      </c>
      <c r="H40" s="220" t="s">
        <v>112</v>
      </c>
      <c r="I40" s="220">
        <v>18.320000000000064</v>
      </c>
      <c r="J40" s="220">
        <v>261.5799999999071</v>
      </c>
    </row>
    <row r="41" spans="3:10">
      <c r="C41" s="250" t="s">
        <v>96</v>
      </c>
      <c r="D41" s="279">
        <v>7</v>
      </c>
      <c r="E41" s="279">
        <v>90</v>
      </c>
      <c r="F41" s="220">
        <v>40.980000000000416</v>
      </c>
      <c r="G41" s="220" t="s">
        <v>112</v>
      </c>
      <c r="H41" s="220" t="s">
        <v>112</v>
      </c>
      <c r="I41" s="220">
        <v>18.320000000000064</v>
      </c>
      <c r="J41" s="220">
        <v>261.5799999999071</v>
      </c>
    </row>
    <row r="42" spans="3:10">
      <c r="C42" s="250" t="s">
        <v>95</v>
      </c>
      <c r="D42" s="279"/>
      <c r="E42" s="279"/>
      <c r="F42" s="220">
        <v>42.020000000000209</v>
      </c>
      <c r="G42" s="220" t="s">
        <v>112</v>
      </c>
      <c r="H42" s="220" t="s">
        <v>112</v>
      </c>
      <c r="I42" s="220">
        <v>18.790000000000138</v>
      </c>
      <c r="J42" s="220">
        <v>268.11999999990115</v>
      </c>
    </row>
    <row r="43" spans="3:10">
      <c r="C43" s="250" t="s">
        <v>96</v>
      </c>
      <c r="D43" s="279">
        <v>6</v>
      </c>
      <c r="E43" s="279">
        <v>90</v>
      </c>
      <c r="F43" s="220" t="s">
        <v>112</v>
      </c>
      <c r="G43" s="220">
        <v>40.260000000000559</v>
      </c>
      <c r="H43" s="220">
        <v>2.9099999999999819</v>
      </c>
      <c r="I43" s="220" t="s">
        <v>112</v>
      </c>
      <c r="J43" s="220">
        <v>268.11999999990115</v>
      </c>
    </row>
    <row r="44" spans="3:10">
      <c r="C44" s="250" t="s">
        <v>95</v>
      </c>
      <c r="D44" s="279"/>
      <c r="E44" s="279"/>
      <c r="F44" s="220" t="s">
        <v>112</v>
      </c>
      <c r="G44" s="220">
        <v>39.30000000000075</v>
      </c>
      <c r="H44" s="220">
        <v>2.8399999999999834</v>
      </c>
      <c r="I44" s="220" t="s">
        <v>112</v>
      </c>
      <c r="J44" s="220">
        <v>261.5799999999071</v>
      </c>
    </row>
    <row r="45" spans="3:10">
      <c r="C45" s="250" t="s">
        <v>96</v>
      </c>
      <c r="D45" s="279">
        <v>5</v>
      </c>
      <c r="E45" s="279">
        <v>90</v>
      </c>
      <c r="F45" s="220" t="s">
        <v>112</v>
      </c>
      <c r="G45" s="220">
        <v>39.30000000000075</v>
      </c>
      <c r="H45" s="220">
        <v>2.8399999999999834</v>
      </c>
      <c r="I45" s="220" t="s">
        <v>112</v>
      </c>
      <c r="J45" s="220">
        <v>261.5799999999071</v>
      </c>
    </row>
    <row r="46" spans="3:10">
      <c r="C46" s="250" t="s">
        <v>95</v>
      </c>
      <c r="D46" s="279"/>
      <c r="E46" s="279"/>
      <c r="F46" s="220" t="s">
        <v>112</v>
      </c>
      <c r="G46" s="220">
        <v>38.380000000000933</v>
      </c>
      <c r="H46" s="244">
        <v>2.7699999999999849</v>
      </c>
      <c r="I46" s="220" t="s">
        <v>112</v>
      </c>
      <c r="J46" s="220">
        <v>255.34999999991274</v>
      </c>
    </row>
    <row r="47" spans="3:10">
      <c r="C47" s="250" t="s">
        <v>96</v>
      </c>
      <c r="D47" s="279">
        <v>4</v>
      </c>
      <c r="E47" s="279">
        <v>-25</v>
      </c>
      <c r="F47" s="220">
        <v>7.0499999999998941</v>
      </c>
      <c r="G47" s="220" t="s">
        <v>112</v>
      </c>
      <c r="H47" s="220">
        <v>10.229999999999826</v>
      </c>
      <c r="I47" s="220" t="s">
        <v>112</v>
      </c>
      <c r="J47" s="220">
        <v>7.429999999999886</v>
      </c>
    </row>
    <row r="48" spans="3:10">
      <c r="C48" s="250" t="s">
        <v>95</v>
      </c>
      <c r="D48" s="279"/>
      <c r="E48" s="279"/>
      <c r="F48" s="220">
        <v>6.8899999999998975</v>
      </c>
      <c r="G48" s="220" t="s">
        <v>112</v>
      </c>
      <c r="H48" s="220">
        <v>9.9999999999998312</v>
      </c>
      <c r="I48" s="220" t="s">
        <v>112</v>
      </c>
      <c r="J48" s="220">
        <v>7.2599999999998897</v>
      </c>
    </row>
    <row r="49" spans="3:10">
      <c r="C49" s="250" t="s">
        <v>96</v>
      </c>
      <c r="D49" s="279">
        <v>3</v>
      </c>
      <c r="E49" s="279">
        <v>25</v>
      </c>
      <c r="F49" s="220">
        <v>7.0599999999998939</v>
      </c>
      <c r="G49" s="220" t="s">
        <v>112</v>
      </c>
      <c r="H49" s="220">
        <v>9.4799999999998423</v>
      </c>
      <c r="I49" s="220" t="s">
        <v>112</v>
      </c>
      <c r="J49" s="220">
        <v>6.9999999999998952</v>
      </c>
    </row>
    <row r="50" spans="3:10">
      <c r="C50" s="250" t="s">
        <v>95</v>
      </c>
      <c r="D50" s="279"/>
      <c r="E50" s="279"/>
      <c r="F50" s="220">
        <v>6.8999999999998973</v>
      </c>
      <c r="G50" s="220" t="s">
        <v>112</v>
      </c>
      <c r="H50" s="220">
        <v>9.2699999999998468</v>
      </c>
      <c r="I50" s="220" t="s">
        <v>112</v>
      </c>
      <c r="J50" s="220">
        <v>6.8499999999998984</v>
      </c>
    </row>
    <row r="51" spans="3:10">
      <c r="C51" s="250" t="s">
        <v>96</v>
      </c>
      <c r="D51" s="279">
        <v>2</v>
      </c>
      <c r="E51" s="279">
        <v>0</v>
      </c>
      <c r="F51" s="220">
        <v>5.4199999999999289</v>
      </c>
      <c r="G51" s="220" t="s">
        <v>112</v>
      </c>
      <c r="H51" s="220">
        <v>21.740000000000599</v>
      </c>
      <c r="I51" s="220" t="s">
        <v>112</v>
      </c>
      <c r="J51" s="220">
        <v>243.7399999999233</v>
      </c>
    </row>
    <row r="52" spans="3:10">
      <c r="C52" s="250" t="s">
        <v>95</v>
      </c>
      <c r="D52" s="279"/>
      <c r="E52" s="279"/>
      <c r="F52" s="220">
        <v>5.2999999999999314</v>
      </c>
      <c r="G52" s="220" t="s">
        <v>112</v>
      </c>
      <c r="H52" s="220">
        <v>21.260000000000524</v>
      </c>
      <c r="I52" s="220" t="s">
        <v>112</v>
      </c>
      <c r="J52" s="220">
        <v>238.32999999992822</v>
      </c>
    </row>
    <row r="53" spans="3:10">
      <c r="C53" s="250" t="s">
        <v>96</v>
      </c>
      <c r="D53" s="279">
        <v>1</v>
      </c>
      <c r="E53" s="279">
        <v>0</v>
      </c>
      <c r="F53" s="220">
        <v>5.2999999999999314</v>
      </c>
      <c r="G53" s="220" t="s">
        <v>112</v>
      </c>
      <c r="H53" s="220">
        <v>21.260000000000524</v>
      </c>
      <c r="I53" s="220" t="s">
        <v>112</v>
      </c>
      <c r="J53" s="220">
        <v>238.32999999992822</v>
      </c>
    </row>
    <row r="54" spans="3:10">
      <c r="C54" s="250" t="s">
        <v>95</v>
      </c>
      <c r="D54" s="279"/>
      <c r="E54" s="279"/>
      <c r="F54" s="220">
        <v>5.1899999999999338</v>
      </c>
      <c r="G54" s="220" t="s">
        <v>112</v>
      </c>
      <c r="H54" s="220">
        <v>20.810000000000453</v>
      </c>
      <c r="I54" s="220" t="s">
        <v>112</v>
      </c>
      <c r="J54" s="220">
        <v>233.14999999993293</v>
      </c>
    </row>
    <row r="56" spans="3:10" ht="19">
      <c r="C56" s="280" t="s">
        <v>97</v>
      </c>
      <c r="D56" s="280"/>
      <c r="E56" s="248" t="s">
        <v>100</v>
      </c>
      <c r="F56" s="251" t="s">
        <v>120</v>
      </c>
      <c r="G56" s="251" t="s">
        <v>119</v>
      </c>
    </row>
    <row r="57" spans="3:10">
      <c r="C57" s="24" t="s">
        <v>96</v>
      </c>
      <c r="D57" s="252">
        <v>12</v>
      </c>
      <c r="E57" s="252">
        <v>0</v>
      </c>
      <c r="F57" s="224">
        <v>6.3199999999999097</v>
      </c>
      <c r="G57" s="224">
        <v>-5.0899999999980459</v>
      </c>
    </row>
    <row r="58" spans="3:10">
      <c r="C58" s="24" t="s">
        <v>95</v>
      </c>
      <c r="D58" s="252"/>
      <c r="E58" s="252"/>
      <c r="F58" s="224">
        <v>6.4599999999999067</v>
      </c>
      <c r="G58" s="224">
        <v>-5.2099999999980433</v>
      </c>
    </row>
    <row r="59" spans="3:10">
      <c r="C59" s="24" t="s">
        <v>96</v>
      </c>
      <c r="D59" s="252">
        <v>11</v>
      </c>
      <c r="E59" s="252">
        <v>0</v>
      </c>
      <c r="F59" s="224">
        <v>6.4599999999999067</v>
      </c>
      <c r="G59" s="224">
        <v>-5.2099999999980433</v>
      </c>
    </row>
    <row r="60" spans="3:10">
      <c r="C60" s="24" t="s">
        <v>95</v>
      </c>
      <c r="D60" s="252"/>
      <c r="E60" s="252"/>
      <c r="F60" s="224">
        <v>6.6099999999999035</v>
      </c>
      <c r="G60" s="224">
        <v>-5.3299999999980407</v>
      </c>
    </row>
    <row r="61" spans="3:10">
      <c r="C61" s="24" t="s">
        <v>96</v>
      </c>
      <c r="D61" s="252">
        <v>10</v>
      </c>
      <c r="E61" s="252">
        <v>25</v>
      </c>
      <c r="F61" s="224">
        <v>6.7399999999999007</v>
      </c>
      <c r="G61" s="224">
        <v>-4.2699999999980633</v>
      </c>
    </row>
    <row r="62" spans="3:10">
      <c r="C62" s="24" t="s">
        <v>95</v>
      </c>
      <c r="D62" s="252"/>
      <c r="E62" s="252"/>
      <c r="F62" s="224">
        <v>6.8999999999998973</v>
      </c>
      <c r="G62" s="224">
        <v>-4.3699999999980612</v>
      </c>
    </row>
    <row r="63" spans="3:10">
      <c r="C63" s="24" t="s">
        <v>96</v>
      </c>
      <c r="D63" s="252">
        <v>9</v>
      </c>
      <c r="E63" s="252">
        <v>-25</v>
      </c>
      <c r="F63" s="224">
        <v>6.869999999999898</v>
      </c>
      <c r="G63" s="224">
        <v>-4.4399999999980597</v>
      </c>
    </row>
    <row r="64" spans="3:10">
      <c r="C64" s="24" t="s">
        <v>95</v>
      </c>
      <c r="D64" s="252"/>
      <c r="E64" s="252"/>
      <c r="F64" s="224">
        <v>7.0399999999998943</v>
      </c>
      <c r="G64" s="224">
        <v>-4.5499999999980574</v>
      </c>
    </row>
    <row r="65" spans="3:7">
      <c r="C65" s="249" t="s">
        <v>96</v>
      </c>
      <c r="D65" s="260">
        <v>8</v>
      </c>
      <c r="E65" s="260">
        <v>90</v>
      </c>
      <c r="F65" s="220">
        <v>15.159999999999721</v>
      </c>
      <c r="G65" s="244">
        <v>-2.829999999998094</v>
      </c>
    </row>
    <row r="66" spans="3:7">
      <c r="C66" s="24" t="s">
        <v>95</v>
      </c>
      <c r="D66" s="260"/>
      <c r="E66" s="260"/>
      <c r="F66" s="224">
        <v>15.529999999999713</v>
      </c>
      <c r="G66" s="224">
        <v>-2.8999999999980925</v>
      </c>
    </row>
    <row r="67" spans="3:7">
      <c r="C67" s="24" t="s">
        <v>96</v>
      </c>
      <c r="D67" s="252">
        <v>7</v>
      </c>
      <c r="E67" s="252">
        <v>90</v>
      </c>
      <c r="F67" s="224">
        <v>15.529999999999713</v>
      </c>
      <c r="G67" s="224">
        <v>-2.8999999999980925</v>
      </c>
    </row>
    <row r="68" spans="3:7">
      <c r="C68" s="24" t="s">
        <v>95</v>
      </c>
      <c r="D68" s="252"/>
      <c r="E68" s="252"/>
      <c r="F68" s="224">
        <v>15.929999999999705</v>
      </c>
      <c r="G68" s="224">
        <v>-2.9699999999980911</v>
      </c>
    </row>
    <row r="69" spans="3:7">
      <c r="C69" s="24" t="s">
        <v>96</v>
      </c>
      <c r="D69" s="252">
        <v>6</v>
      </c>
      <c r="E69" s="252">
        <v>90</v>
      </c>
      <c r="F69" s="224">
        <v>2.8299999999999836</v>
      </c>
      <c r="G69" s="224">
        <v>-15.21999999999783</v>
      </c>
    </row>
    <row r="70" spans="3:7">
      <c r="C70" s="24" t="s">
        <v>95</v>
      </c>
      <c r="D70" s="252"/>
      <c r="E70" s="252"/>
      <c r="F70" s="224">
        <v>2.7599999999999851</v>
      </c>
      <c r="G70" s="224">
        <v>-14.859999999997838</v>
      </c>
    </row>
    <row r="71" spans="3:7">
      <c r="C71" s="24" t="s">
        <v>96</v>
      </c>
      <c r="D71" s="260">
        <v>5</v>
      </c>
      <c r="E71" s="260">
        <v>90</v>
      </c>
      <c r="F71" s="224">
        <v>2.7599999999999851</v>
      </c>
      <c r="G71" s="224">
        <v>-14.859999999997838</v>
      </c>
    </row>
    <row r="72" spans="3:7">
      <c r="C72" s="249" t="s">
        <v>95</v>
      </c>
      <c r="D72" s="260"/>
      <c r="E72" s="260"/>
      <c r="F72" s="244">
        <v>2.6999999999999864</v>
      </c>
      <c r="G72" s="220">
        <v>-14.509999999997845</v>
      </c>
    </row>
    <row r="73" spans="3:7">
      <c r="C73" s="24" t="s">
        <v>96</v>
      </c>
      <c r="D73" s="252">
        <v>4</v>
      </c>
      <c r="E73" s="252">
        <v>-25</v>
      </c>
      <c r="F73" s="224">
        <v>4.3399999999999519</v>
      </c>
      <c r="G73" s="224">
        <v>-6.7499999999980105</v>
      </c>
    </row>
    <row r="74" spans="3:7">
      <c r="C74" s="24" t="s">
        <v>95</v>
      </c>
      <c r="D74" s="252"/>
      <c r="E74" s="252"/>
      <c r="F74" s="224">
        <v>4.239999999999954</v>
      </c>
      <c r="G74" s="224">
        <v>-6.5999999999980137</v>
      </c>
    </row>
    <row r="75" spans="3:7">
      <c r="C75" s="24" t="s">
        <v>96</v>
      </c>
      <c r="D75" s="252">
        <v>3</v>
      </c>
      <c r="E75" s="252">
        <v>25</v>
      </c>
      <c r="F75" s="224">
        <v>4.1699999999999555</v>
      </c>
      <c r="G75" s="224">
        <v>-6.6199999999980133</v>
      </c>
    </row>
    <row r="76" spans="3:7">
      <c r="C76" s="24" t="s">
        <v>95</v>
      </c>
      <c r="D76" s="252"/>
      <c r="E76" s="252"/>
      <c r="F76" s="224">
        <v>4.0799999999999574</v>
      </c>
      <c r="G76" s="224">
        <v>-6.4699999999980164</v>
      </c>
    </row>
    <row r="77" spans="3:7">
      <c r="C77" s="24" t="s">
        <v>96</v>
      </c>
      <c r="D77" s="252">
        <v>2</v>
      </c>
      <c r="E77" s="252">
        <v>0</v>
      </c>
      <c r="F77" s="224">
        <v>5.0899999999999359</v>
      </c>
      <c r="G77" s="224">
        <v>-6.349999999998019</v>
      </c>
    </row>
    <row r="78" spans="3:7">
      <c r="C78" s="24" t="s">
        <v>95</v>
      </c>
      <c r="D78" s="252"/>
      <c r="E78" s="252"/>
      <c r="F78" s="224">
        <v>4.9799999999999383</v>
      </c>
      <c r="G78" s="224">
        <v>-6.209999999998022</v>
      </c>
    </row>
    <row r="79" spans="3:7">
      <c r="C79" s="24" t="s">
        <v>96</v>
      </c>
      <c r="D79" s="252">
        <v>1</v>
      </c>
      <c r="E79" s="252">
        <v>0</v>
      </c>
      <c r="F79" s="224">
        <v>4.9799999999999383</v>
      </c>
      <c r="G79" s="224">
        <v>-6.209999999998022</v>
      </c>
    </row>
    <row r="80" spans="3:7">
      <c r="C80" s="24" t="s">
        <v>95</v>
      </c>
      <c r="D80" s="252"/>
      <c r="E80" s="252"/>
      <c r="F80" s="224">
        <v>4.8799999999999404</v>
      </c>
      <c r="G80" s="224">
        <v>-6.0799999999980248</v>
      </c>
    </row>
    <row r="82" spans="3:9" ht="19">
      <c r="C82" s="280" t="s">
        <v>97</v>
      </c>
      <c r="D82" s="280"/>
      <c r="E82" s="248" t="s">
        <v>100</v>
      </c>
      <c r="F82" s="251" t="s">
        <v>122</v>
      </c>
      <c r="G82" s="251" t="s">
        <v>123</v>
      </c>
      <c r="H82" s="251" t="s">
        <v>124</v>
      </c>
      <c r="I82" s="124" t="s">
        <v>125</v>
      </c>
    </row>
    <row r="83" spans="3:9">
      <c r="C83" s="24" t="s">
        <v>96</v>
      </c>
      <c r="D83" s="252">
        <v>12</v>
      </c>
      <c r="E83" s="252">
        <v>0</v>
      </c>
      <c r="F83" s="224" t="s">
        <v>112</v>
      </c>
      <c r="G83" s="224">
        <v>5.3999999999999293</v>
      </c>
      <c r="H83" s="224" t="s">
        <v>112</v>
      </c>
      <c r="I83" s="224">
        <v>124.45000000002676</v>
      </c>
    </row>
    <row r="84" spans="3:9">
      <c r="C84" s="24" t="s">
        <v>95</v>
      </c>
      <c r="D84" s="252"/>
      <c r="E84" s="252"/>
      <c r="F84" s="224" t="s">
        <v>112</v>
      </c>
      <c r="G84" s="224">
        <v>5.5199999999999267</v>
      </c>
      <c r="H84" s="224" t="s">
        <v>112</v>
      </c>
      <c r="I84" s="224">
        <v>127.2700000000282</v>
      </c>
    </row>
    <row r="85" spans="3:9">
      <c r="C85" s="24" t="s">
        <v>96</v>
      </c>
      <c r="D85" s="252">
        <v>11</v>
      </c>
      <c r="E85" s="252">
        <v>0</v>
      </c>
      <c r="F85" s="224" t="s">
        <v>112</v>
      </c>
      <c r="G85" s="224">
        <v>5.5199999999999267</v>
      </c>
      <c r="H85" s="224" t="s">
        <v>112</v>
      </c>
      <c r="I85" s="224">
        <v>127.2700000000282</v>
      </c>
    </row>
    <row r="86" spans="3:9">
      <c r="C86" s="24" t="s">
        <v>95</v>
      </c>
      <c r="D86" s="252"/>
      <c r="E86" s="252"/>
      <c r="F86" s="224" t="s">
        <v>112</v>
      </c>
      <c r="G86" s="224">
        <v>5.649999999999924</v>
      </c>
      <c r="H86" s="224" t="s">
        <v>112</v>
      </c>
      <c r="I86" s="224">
        <v>130.23000000002654</v>
      </c>
    </row>
    <row r="87" spans="3:9">
      <c r="C87" s="24" t="s">
        <v>96</v>
      </c>
      <c r="D87" s="252">
        <v>10</v>
      </c>
      <c r="E87" s="252">
        <v>25</v>
      </c>
      <c r="F87" s="224" t="s">
        <v>112</v>
      </c>
      <c r="G87" s="224">
        <v>7.1999999999998909</v>
      </c>
      <c r="H87" s="224" t="s">
        <v>112</v>
      </c>
      <c r="I87" s="224">
        <v>7.9599999999998747</v>
      </c>
    </row>
    <row r="88" spans="3:9">
      <c r="C88" s="24" t="s">
        <v>95</v>
      </c>
      <c r="D88" s="252"/>
      <c r="E88" s="252"/>
      <c r="F88" s="224" t="s">
        <v>112</v>
      </c>
      <c r="G88" s="224">
        <v>7.3799999999998871</v>
      </c>
      <c r="H88" s="224" t="s">
        <v>112</v>
      </c>
      <c r="I88" s="224">
        <v>8.1499999999998707</v>
      </c>
    </row>
    <row r="89" spans="3:9">
      <c r="C89" s="24" t="s">
        <v>96</v>
      </c>
      <c r="D89" s="252">
        <v>9</v>
      </c>
      <c r="E89" s="252">
        <v>-25</v>
      </c>
      <c r="F89" s="220" t="s">
        <v>112</v>
      </c>
      <c r="G89" s="220">
        <v>7.1899999999998911</v>
      </c>
      <c r="H89" s="224" t="s">
        <v>112</v>
      </c>
      <c r="I89" s="224">
        <v>8.4599999999998641</v>
      </c>
    </row>
    <row r="90" spans="3:9">
      <c r="C90" s="24" t="s">
        <v>95</v>
      </c>
      <c r="D90" s="252"/>
      <c r="E90" s="252"/>
      <c r="F90" s="220" t="s">
        <v>112</v>
      </c>
      <c r="G90" s="220">
        <v>7.3699999999998873</v>
      </c>
      <c r="H90" s="224" t="s">
        <v>112</v>
      </c>
      <c r="I90" s="224">
        <v>8.6599999999998598</v>
      </c>
    </row>
    <row r="91" spans="3:9">
      <c r="C91" s="249" t="s">
        <v>96</v>
      </c>
      <c r="D91" s="260">
        <v>8</v>
      </c>
      <c r="E91" s="260">
        <v>90</v>
      </c>
      <c r="F91" s="220">
        <v>39.500000000000711</v>
      </c>
      <c r="G91" s="220" t="s">
        <v>112</v>
      </c>
      <c r="H91" s="244">
        <v>2.8999999999999821</v>
      </c>
      <c r="I91" s="220" t="s">
        <v>112</v>
      </c>
    </row>
    <row r="92" spans="3:9">
      <c r="C92" s="24" t="s">
        <v>95</v>
      </c>
      <c r="D92" s="260"/>
      <c r="E92" s="260"/>
      <c r="F92" s="220">
        <v>40.480000000000516</v>
      </c>
      <c r="G92" s="220" t="s">
        <v>112</v>
      </c>
      <c r="H92" s="224">
        <v>2.9699999999999807</v>
      </c>
      <c r="I92" s="224" t="s">
        <v>112</v>
      </c>
    </row>
    <row r="93" spans="3:9">
      <c r="C93" s="24" t="s">
        <v>96</v>
      </c>
      <c r="D93" s="252">
        <v>7</v>
      </c>
      <c r="E93" s="252">
        <v>90</v>
      </c>
      <c r="F93" s="220">
        <v>40.480000000000516</v>
      </c>
      <c r="G93" s="220" t="s">
        <v>112</v>
      </c>
      <c r="H93" s="224">
        <v>2.9699999999999807</v>
      </c>
      <c r="I93" s="224" t="s">
        <v>112</v>
      </c>
    </row>
    <row r="94" spans="3:9">
      <c r="C94" s="24" t="s">
        <v>95</v>
      </c>
      <c r="D94" s="252"/>
      <c r="E94" s="252"/>
      <c r="F94" s="224">
        <v>41.520000000000309</v>
      </c>
      <c r="G94" s="224" t="s">
        <v>112</v>
      </c>
      <c r="H94" s="224">
        <v>3.049999999999979</v>
      </c>
      <c r="I94" s="224" t="s">
        <v>112</v>
      </c>
    </row>
    <row r="95" spans="3:9">
      <c r="C95" s="24" t="s">
        <v>96</v>
      </c>
      <c r="D95" s="252">
        <v>6</v>
      </c>
      <c r="E95" s="252">
        <v>90</v>
      </c>
      <c r="F95" s="224" t="s">
        <v>112</v>
      </c>
      <c r="G95" s="224">
        <v>40.260000000000559</v>
      </c>
      <c r="H95" s="224" t="s">
        <v>112</v>
      </c>
      <c r="I95" s="224">
        <v>5.4699999999999278</v>
      </c>
    </row>
    <row r="96" spans="3:9">
      <c r="C96" s="24" t="s">
        <v>95</v>
      </c>
      <c r="D96" s="252"/>
      <c r="E96" s="252"/>
      <c r="F96" s="224" t="s">
        <v>112</v>
      </c>
      <c r="G96" s="224">
        <v>39.30000000000075</v>
      </c>
      <c r="H96" s="224" t="s">
        <v>112</v>
      </c>
      <c r="I96" s="224">
        <v>5.3399999999999306</v>
      </c>
    </row>
    <row r="97" spans="3:9">
      <c r="C97" s="250" t="s">
        <v>96</v>
      </c>
      <c r="D97" s="279">
        <v>5</v>
      </c>
      <c r="E97" s="279">
        <v>90</v>
      </c>
      <c r="F97" s="224" t="s">
        <v>112</v>
      </c>
      <c r="G97" s="224">
        <v>39.30000000000075</v>
      </c>
      <c r="H97" s="224" t="s">
        <v>112</v>
      </c>
      <c r="I97" s="224">
        <v>5.3399999999999306</v>
      </c>
    </row>
    <row r="98" spans="3:9">
      <c r="C98" s="250" t="s">
        <v>95</v>
      </c>
      <c r="D98" s="279"/>
      <c r="E98" s="279"/>
      <c r="F98" s="220" t="s">
        <v>112</v>
      </c>
      <c r="G98" s="220">
        <v>38.380000000000933</v>
      </c>
      <c r="H98" s="224" t="s">
        <v>112</v>
      </c>
      <c r="I98" s="224">
        <v>5.2199999999999331</v>
      </c>
    </row>
    <row r="99" spans="3:9">
      <c r="C99" s="24" t="s">
        <v>96</v>
      </c>
      <c r="D99" s="252">
        <v>4</v>
      </c>
      <c r="E99" s="252">
        <v>-25</v>
      </c>
      <c r="F99" s="220">
        <v>5.1099999999999355</v>
      </c>
      <c r="G99" s="220" t="s">
        <v>112</v>
      </c>
      <c r="H99" s="224">
        <v>6.0099999999999163</v>
      </c>
      <c r="I99" s="224" t="s">
        <v>112</v>
      </c>
    </row>
    <row r="100" spans="3:9">
      <c r="C100" s="24" t="s">
        <v>95</v>
      </c>
      <c r="D100" s="252"/>
      <c r="E100" s="252"/>
      <c r="F100" s="220">
        <v>4.9999999999999378</v>
      </c>
      <c r="G100" s="220" t="s">
        <v>112</v>
      </c>
      <c r="H100" s="224">
        <v>5.8799999999999191</v>
      </c>
      <c r="I100" s="224" t="s">
        <v>112</v>
      </c>
    </row>
    <row r="101" spans="3:9">
      <c r="C101" s="24" t="s">
        <v>96</v>
      </c>
      <c r="D101" s="252">
        <v>3</v>
      </c>
      <c r="E101" s="252">
        <v>25</v>
      </c>
      <c r="F101" s="220">
        <v>4.9699999999999385</v>
      </c>
      <c r="G101" s="220" t="s">
        <v>112</v>
      </c>
      <c r="H101" s="224">
        <v>5.6299999999999244</v>
      </c>
      <c r="I101" s="224" t="s">
        <v>112</v>
      </c>
    </row>
    <row r="102" spans="3:9">
      <c r="C102" s="24" t="s">
        <v>95</v>
      </c>
      <c r="D102" s="252"/>
      <c r="E102" s="252"/>
      <c r="F102" s="224">
        <v>4.8599999999999408</v>
      </c>
      <c r="G102" s="224" t="s">
        <v>112</v>
      </c>
      <c r="H102" s="224">
        <v>5.509999999999927</v>
      </c>
      <c r="I102" s="224" t="s">
        <v>112</v>
      </c>
    </row>
    <row r="103" spans="3:9">
      <c r="C103" s="24" t="s">
        <v>96</v>
      </c>
      <c r="D103" s="252">
        <v>2</v>
      </c>
      <c r="E103" s="252">
        <v>0</v>
      </c>
      <c r="F103" s="224">
        <v>5.4199999999999289</v>
      </c>
      <c r="G103" s="224" t="s">
        <v>112</v>
      </c>
      <c r="H103" s="224">
        <v>21.650000000000585</v>
      </c>
      <c r="I103" s="224" t="s">
        <v>112</v>
      </c>
    </row>
    <row r="104" spans="3:9">
      <c r="C104" s="24" t="s">
        <v>95</v>
      </c>
      <c r="D104" s="252"/>
      <c r="E104" s="252"/>
      <c r="F104" s="224">
        <v>5.2999999999999314</v>
      </c>
      <c r="G104" s="224" t="s">
        <v>112</v>
      </c>
      <c r="H104" s="224">
        <v>21.180000000000511</v>
      </c>
      <c r="I104" s="224" t="s">
        <v>112</v>
      </c>
    </row>
    <row r="105" spans="3:9">
      <c r="C105" s="24" t="s">
        <v>96</v>
      </c>
      <c r="D105" s="252">
        <v>1</v>
      </c>
      <c r="E105" s="252">
        <v>0</v>
      </c>
      <c r="F105" s="224">
        <v>5.2999999999999314</v>
      </c>
      <c r="G105" s="224" t="s">
        <v>112</v>
      </c>
      <c r="H105" s="224">
        <v>21.180000000000511</v>
      </c>
      <c r="I105" s="224" t="s">
        <v>112</v>
      </c>
    </row>
    <row r="106" spans="3:9">
      <c r="C106" s="24" t="s">
        <v>95</v>
      </c>
      <c r="D106" s="252"/>
      <c r="E106" s="252"/>
      <c r="F106" s="224">
        <v>5.1899999999999338</v>
      </c>
      <c r="G106" s="224" t="s">
        <v>112</v>
      </c>
      <c r="H106" s="224">
        <v>20.730000000000441</v>
      </c>
      <c r="I106" s="224" t="s">
        <v>112</v>
      </c>
    </row>
  </sheetData>
  <mergeCells count="101">
    <mergeCell ref="C4:D4"/>
    <mergeCell ref="D5:D6"/>
    <mergeCell ref="E5:E6"/>
    <mergeCell ref="D7:D8"/>
    <mergeCell ref="E7:E8"/>
    <mergeCell ref="D9:D10"/>
    <mergeCell ref="E9:E10"/>
    <mergeCell ref="D11:D12"/>
    <mergeCell ref="E11:E12"/>
    <mergeCell ref="D19:D20"/>
    <mergeCell ref="E19:E20"/>
    <mergeCell ref="D21:D22"/>
    <mergeCell ref="E21:E22"/>
    <mergeCell ref="D23:D24"/>
    <mergeCell ref="E23:E24"/>
    <mergeCell ref="B13:B14"/>
    <mergeCell ref="D13:D14"/>
    <mergeCell ref="E13:E14"/>
    <mergeCell ref="D17:D18"/>
    <mergeCell ref="E17:E18"/>
    <mergeCell ref="D15:D16"/>
    <mergeCell ref="E15:E16"/>
    <mergeCell ref="D31:D32"/>
    <mergeCell ref="E31:E32"/>
    <mergeCell ref="D33:D34"/>
    <mergeCell ref="E33:E34"/>
    <mergeCell ref="D35:D36"/>
    <mergeCell ref="E35:E36"/>
    <mergeCell ref="D25:D26"/>
    <mergeCell ref="E25:E26"/>
    <mergeCell ref="D27:D28"/>
    <mergeCell ref="E27:E28"/>
    <mergeCell ref="C30:D30"/>
    <mergeCell ref="D43:D44"/>
    <mergeCell ref="E43:E44"/>
    <mergeCell ref="D45:D46"/>
    <mergeCell ref="E45:E46"/>
    <mergeCell ref="D47:D48"/>
    <mergeCell ref="E47:E48"/>
    <mergeCell ref="D37:D38"/>
    <mergeCell ref="E37:E38"/>
    <mergeCell ref="D39:D40"/>
    <mergeCell ref="E39:E40"/>
    <mergeCell ref="D41:D42"/>
    <mergeCell ref="E41:E42"/>
    <mergeCell ref="C56:D56"/>
    <mergeCell ref="D57:D58"/>
    <mergeCell ref="E57:E58"/>
    <mergeCell ref="D59:D60"/>
    <mergeCell ref="E59:E60"/>
    <mergeCell ref="D49:D50"/>
    <mergeCell ref="E49:E50"/>
    <mergeCell ref="D51:D52"/>
    <mergeCell ref="E51:E52"/>
    <mergeCell ref="D53:D54"/>
    <mergeCell ref="E53:E54"/>
    <mergeCell ref="D67:D68"/>
    <mergeCell ref="E67:E68"/>
    <mergeCell ref="D69:D70"/>
    <mergeCell ref="E69:E70"/>
    <mergeCell ref="D71:D72"/>
    <mergeCell ref="E71:E72"/>
    <mergeCell ref="D61:D62"/>
    <mergeCell ref="E61:E62"/>
    <mergeCell ref="D63:D64"/>
    <mergeCell ref="E63:E64"/>
    <mergeCell ref="D65:D66"/>
    <mergeCell ref="E65:E66"/>
    <mergeCell ref="D79:D80"/>
    <mergeCell ref="E79:E80"/>
    <mergeCell ref="C82:D82"/>
    <mergeCell ref="D83:D84"/>
    <mergeCell ref="E83:E84"/>
    <mergeCell ref="D73:D74"/>
    <mergeCell ref="E73:E74"/>
    <mergeCell ref="D75:D76"/>
    <mergeCell ref="E75:E76"/>
    <mergeCell ref="D77:D78"/>
    <mergeCell ref="E77:E78"/>
    <mergeCell ref="D91:D92"/>
    <mergeCell ref="E91:E92"/>
    <mergeCell ref="D93:D94"/>
    <mergeCell ref="E93:E94"/>
    <mergeCell ref="D95:D96"/>
    <mergeCell ref="E95:E96"/>
    <mergeCell ref="D85:D86"/>
    <mergeCell ref="E85:E86"/>
    <mergeCell ref="D87:D88"/>
    <mergeCell ref="E87:E88"/>
    <mergeCell ref="D89:D90"/>
    <mergeCell ref="E89:E90"/>
    <mergeCell ref="D103:D104"/>
    <mergeCell ref="E103:E104"/>
    <mergeCell ref="D105:D106"/>
    <mergeCell ref="E105:E106"/>
    <mergeCell ref="D97:D98"/>
    <mergeCell ref="E97:E98"/>
    <mergeCell ref="D99:D100"/>
    <mergeCell ref="E99:E100"/>
    <mergeCell ref="D101:D102"/>
    <mergeCell ref="E101:E102"/>
  </mergeCells>
  <pageMargins left="0.7" right="0.7" top="0.75" bottom="0.75" header="0.3" footer="0.3"/>
  <pageSetup orientation="portrait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le5"/>
  <dimension ref="A1:AD117"/>
  <sheetViews>
    <sheetView showGridLines="0" topLeftCell="G31" zoomScale="75" workbookViewId="0">
      <selection activeCell="P40" sqref="P40:AD65"/>
    </sheetView>
  </sheetViews>
  <sheetFormatPr baseColWidth="10" defaultRowHeight="16"/>
  <cols>
    <col min="1" max="3" width="5.83203125" customWidth="1"/>
    <col min="4" max="16" width="10.83203125" customWidth="1"/>
    <col min="17" max="19" width="5.83203125" customWidth="1"/>
    <col min="20" max="26" width="10.83203125" customWidth="1"/>
  </cols>
  <sheetData>
    <row r="1" spans="1:26">
      <c r="A1" s="108" t="s">
        <v>81</v>
      </c>
      <c r="B1" s="120">
        <v>5.7499999999999999E-3</v>
      </c>
      <c r="C1" s="283">
        <v>5.6249999999999998E-3</v>
      </c>
      <c r="D1" s="283"/>
      <c r="E1" s="283">
        <v>5.4999999999999997E-3</v>
      </c>
      <c r="F1" s="283"/>
      <c r="G1" s="283">
        <v>5.3749999999999996E-3</v>
      </c>
      <c r="H1" s="283"/>
      <c r="I1" s="283">
        <v>5.2500000000000003E-3</v>
      </c>
      <c r="J1" s="283"/>
      <c r="K1" s="284">
        <v>5.1250000000000002E-3</v>
      </c>
      <c r="L1" s="284"/>
      <c r="M1" s="125">
        <v>5.0000000000000001E-3</v>
      </c>
      <c r="N1" s="125">
        <v>-5.0000000000000001E-3</v>
      </c>
      <c r="O1" s="192"/>
      <c r="P1" s="284">
        <f>-K1</f>
        <v>-5.1250000000000002E-3</v>
      </c>
      <c r="Q1" s="284"/>
      <c r="R1" s="284">
        <f>-I1</f>
        <v>-5.2500000000000003E-3</v>
      </c>
      <c r="S1" s="284"/>
      <c r="T1" s="284">
        <f>-G1</f>
        <v>-5.3749999999999996E-3</v>
      </c>
      <c r="U1" s="284"/>
      <c r="V1" s="284">
        <f>-E1</f>
        <v>-5.4999999999999997E-3</v>
      </c>
      <c r="W1" s="284"/>
      <c r="X1" s="284">
        <f>-C1</f>
        <v>-5.6249999999999998E-3</v>
      </c>
      <c r="Y1" s="284"/>
      <c r="Z1" s="125">
        <f>-B1</f>
        <v>-5.7499999999999999E-3</v>
      </c>
    </row>
    <row r="2" spans="1:26">
      <c r="A2" s="103"/>
      <c r="B2" s="105"/>
      <c r="C2" s="20"/>
      <c r="D2" s="20"/>
      <c r="E2" s="20"/>
      <c r="F2" s="20"/>
      <c r="G2" s="20"/>
      <c r="H2" s="20"/>
      <c r="I2" s="20"/>
      <c r="J2" s="20"/>
      <c r="K2" s="20"/>
      <c r="L2" s="20"/>
      <c r="M2" s="20"/>
      <c r="N2" s="116"/>
      <c r="O2" s="116"/>
      <c r="P2" s="116"/>
      <c r="Q2" s="116"/>
      <c r="R2" s="130"/>
      <c r="S2" s="130"/>
      <c r="T2" s="130"/>
      <c r="U2" s="130"/>
      <c r="V2" s="130"/>
      <c r="W2" s="130"/>
      <c r="X2" s="130"/>
      <c r="Y2" s="130"/>
      <c r="Z2" s="130"/>
    </row>
    <row r="3" spans="1:26">
      <c r="A3" s="108" t="s">
        <v>92</v>
      </c>
      <c r="B3" s="23"/>
      <c r="C3" s="23"/>
      <c r="D3" s="23"/>
      <c r="E3" s="23"/>
      <c r="F3" s="126"/>
      <c r="G3" s="23"/>
      <c r="H3" s="23"/>
      <c r="I3" s="23"/>
      <c r="J3" s="23"/>
      <c r="K3" s="23"/>
      <c r="L3" s="23"/>
      <c r="M3" s="23"/>
      <c r="N3" s="109">
        <f>-M3</f>
        <v>0</v>
      </c>
      <c r="O3" s="109"/>
      <c r="P3" s="109">
        <f>-L3</f>
        <v>0</v>
      </c>
      <c r="Q3" s="109">
        <f>-K3</f>
        <v>0</v>
      </c>
      <c r="R3" s="109">
        <f>-J3</f>
        <v>0</v>
      </c>
      <c r="S3" s="109">
        <f>-I3</f>
        <v>0</v>
      </c>
      <c r="T3" s="109">
        <f>-H3</f>
        <v>0</v>
      </c>
      <c r="U3" s="109">
        <f>-G3</f>
        <v>0</v>
      </c>
      <c r="V3" s="109">
        <f>-F3</f>
        <v>0</v>
      </c>
      <c r="W3" s="109">
        <f>-E3</f>
        <v>0</v>
      </c>
      <c r="X3" s="109">
        <f>-D3</f>
        <v>0</v>
      </c>
      <c r="Y3" s="109">
        <f>-C3</f>
        <v>0</v>
      </c>
      <c r="Z3" s="109">
        <f>-B3</f>
        <v>0</v>
      </c>
    </row>
    <row r="4" spans="1:26">
      <c r="A4" s="108" t="s">
        <v>93</v>
      </c>
      <c r="B4" s="23"/>
      <c r="C4" s="23"/>
      <c r="D4" s="23"/>
      <c r="E4" s="23"/>
      <c r="F4" s="126"/>
      <c r="G4" s="23"/>
      <c r="H4" s="23"/>
      <c r="I4" s="23"/>
      <c r="J4" s="23"/>
      <c r="K4" s="23"/>
      <c r="L4" s="23"/>
      <c r="M4" s="23"/>
      <c r="N4" s="109">
        <f t="shared" ref="N4:N9" si="0">-M4</f>
        <v>0</v>
      </c>
      <c r="O4" s="109"/>
      <c r="P4" s="109">
        <f t="shared" ref="P4:P9" si="1">-L4</f>
        <v>0</v>
      </c>
      <c r="Q4" s="109">
        <f t="shared" ref="Q4:Q9" si="2">-K4</f>
        <v>0</v>
      </c>
      <c r="R4" s="109">
        <f t="shared" ref="R4:R9" si="3">-J4</f>
        <v>0</v>
      </c>
      <c r="S4" s="109">
        <f t="shared" ref="S4:S9" si="4">-I4</f>
        <v>0</v>
      </c>
      <c r="T4" s="109">
        <f t="shared" ref="T4:T9" si="5">-H4</f>
        <v>0</v>
      </c>
      <c r="U4" s="109">
        <f t="shared" ref="U4:U9" si="6">-G4</f>
        <v>0</v>
      </c>
      <c r="V4" s="109">
        <f t="shared" ref="V4:V9" si="7">-F4</f>
        <v>0</v>
      </c>
      <c r="W4" s="109">
        <f t="shared" ref="W4:W9" si="8">-E4</f>
        <v>0</v>
      </c>
      <c r="X4" s="109">
        <f t="shared" ref="X4:X9" si="9">-D4</f>
        <v>0</v>
      </c>
      <c r="Y4" s="109">
        <f t="shared" ref="Y4:Y9" si="10">-C4</f>
        <v>0</v>
      </c>
      <c r="Z4" s="109">
        <f t="shared" ref="Z4:Z9" si="11">-B4</f>
        <v>0</v>
      </c>
    </row>
    <row r="5" spans="1:26">
      <c r="A5" s="108" t="s">
        <v>94</v>
      </c>
      <c r="B5" s="23"/>
      <c r="C5" s="23"/>
      <c r="D5" s="23"/>
      <c r="E5" s="23"/>
      <c r="F5" s="126"/>
      <c r="G5" s="23"/>
      <c r="H5" s="23"/>
      <c r="I5" s="23"/>
      <c r="J5" s="23"/>
      <c r="K5" s="23"/>
      <c r="L5" s="23"/>
      <c r="M5" s="23"/>
      <c r="N5" s="109">
        <f t="shared" si="0"/>
        <v>0</v>
      </c>
      <c r="O5" s="109"/>
      <c r="P5" s="109">
        <f t="shared" si="1"/>
        <v>0</v>
      </c>
      <c r="Q5" s="109">
        <f t="shared" si="2"/>
        <v>0</v>
      </c>
      <c r="R5" s="109">
        <f t="shared" si="3"/>
        <v>0</v>
      </c>
      <c r="S5" s="109">
        <f t="shared" si="4"/>
        <v>0</v>
      </c>
      <c r="T5" s="109">
        <f t="shared" si="5"/>
        <v>0</v>
      </c>
      <c r="U5" s="109">
        <f t="shared" si="6"/>
        <v>0</v>
      </c>
      <c r="V5" s="109">
        <f t="shared" si="7"/>
        <v>0</v>
      </c>
      <c r="W5" s="109">
        <f t="shared" si="8"/>
        <v>0</v>
      </c>
      <c r="X5" s="109">
        <f t="shared" si="9"/>
        <v>0</v>
      </c>
      <c r="Y5" s="109">
        <f t="shared" si="10"/>
        <v>0</v>
      </c>
      <c r="Z5" s="109">
        <f t="shared" si="11"/>
        <v>0</v>
      </c>
    </row>
    <row r="6" spans="1:26">
      <c r="A6" s="104"/>
      <c r="B6" s="62"/>
      <c r="C6" s="62"/>
      <c r="D6" s="62"/>
      <c r="E6" s="62"/>
      <c r="F6" s="62"/>
      <c r="G6" s="62"/>
      <c r="H6" s="62"/>
      <c r="I6" s="62"/>
      <c r="J6" s="62"/>
      <c r="K6" s="62"/>
      <c r="L6" s="62"/>
      <c r="M6" s="62"/>
      <c r="N6" s="62"/>
      <c r="O6" s="62"/>
      <c r="P6" s="62"/>
      <c r="Q6" s="62"/>
      <c r="R6" s="62"/>
      <c r="S6" s="62"/>
      <c r="T6" s="62"/>
      <c r="U6" s="62"/>
      <c r="V6" s="62"/>
      <c r="W6" s="62"/>
      <c r="X6" s="62"/>
      <c r="Y6" s="62"/>
      <c r="Z6" s="62"/>
    </row>
    <row r="7" spans="1:26">
      <c r="A7" s="106" t="s">
        <v>64</v>
      </c>
      <c r="B7" s="109"/>
      <c r="C7" s="109"/>
      <c r="D7" s="109"/>
      <c r="E7" s="109"/>
      <c r="F7" s="109"/>
      <c r="G7" s="109"/>
      <c r="H7" s="109"/>
      <c r="I7" s="109"/>
      <c r="J7" s="109"/>
      <c r="K7" s="109"/>
      <c r="L7" s="109"/>
      <c r="M7" s="109"/>
      <c r="N7" s="109">
        <f t="shared" si="0"/>
        <v>0</v>
      </c>
      <c r="O7" s="109"/>
      <c r="P7" s="109">
        <f t="shared" si="1"/>
        <v>0</v>
      </c>
      <c r="Q7" s="109">
        <f t="shared" si="2"/>
        <v>0</v>
      </c>
      <c r="R7" s="109">
        <f t="shared" si="3"/>
        <v>0</v>
      </c>
      <c r="S7" s="109">
        <f t="shared" si="4"/>
        <v>0</v>
      </c>
      <c r="T7" s="109">
        <f t="shared" si="5"/>
        <v>0</v>
      </c>
      <c r="U7" s="109">
        <f t="shared" si="6"/>
        <v>0</v>
      </c>
      <c r="V7" s="109">
        <f t="shared" si="7"/>
        <v>0</v>
      </c>
      <c r="W7" s="109">
        <f t="shared" si="8"/>
        <v>0</v>
      </c>
      <c r="X7" s="109">
        <f t="shared" si="9"/>
        <v>0</v>
      </c>
      <c r="Y7" s="109">
        <f t="shared" si="10"/>
        <v>0</v>
      </c>
      <c r="Z7" s="109">
        <f t="shared" si="11"/>
        <v>0</v>
      </c>
    </row>
    <row r="8" spans="1:26">
      <c r="A8" s="106" t="s">
        <v>65</v>
      </c>
      <c r="B8" s="109"/>
      <c r="C8" s="109"/>
      <c r="D8" s="109"/>
      <c r="E8" s="109"/>
      <c r="F8" s="109"/>
      <c r="G8" s="109"/>
      <c r="H8" s="109"/>
      <c r="I8" s="109"/>
      <c r="J8" s="109"/>
      <c r="K8" s="109"/>
      <c r="L8" s="109"/>
      <c r="M8" s="109"/>
      <c r="N8" s="109">
        <f t="shared" si="0"/>
        <v>0</v>
      </c>
      <c r="O8" s="109"/>
      <c r="P8" s="109">
        <f t="shared" si="1"/>
        <v>0</v>
      </c>
      <c r="Q8" s="109">
        <f t="shared" si="2"/>
        <v>0</v>
      </c>
      <c r="R8" s="109">
        <f t="shared" si="3"/>
        <v>0</v>
      </c>
      <c r="S8" s="109">
        <f t="shared" si="4"/>
        <v>0</v>
      </c>
      <c r="T8" s="109">
        <f t="shared" si="5"/>
        <v>0</v>
      </c>
      <c r="U8" s="109">
        <f t="shared" si="6"/>
        <v>0</v>
      </c>
      <c r="V8" s="109">
        <f t="shared" si="7"/>
        <v>0</v>
      </c>
      <c r="W8" s="109">
        <f t="shared" si="8"/>
        <v>0</v>
      </c>
      <c r="X8" s="109">
        <f t="shared" si="9"/>
        <v>0</v>
      </c>
      <c r="Y8" s="109">
        <f t="shared" si="10"/>
        <v>0</v>
      </c>
      <c r="Z8" s="109">
        <f t="shared" si="11"/>
        <v>0</v>
      </c>
    </row>
    <row r="9" spans="1:26">
      <c r="A9" s="107" t="s">
        <v>66</v>
      </c>
      <c r="B9" s="109"/>
      <c r="C9" s="109"/>
      <c r="D9" s="109"/>
      <c r="E9" s="109"/>
      <c r="F9" s="109"/>
      <c r="G9" s="109"/>
      <c r="H9" s="109"/>
      <c r="I9" s="109"/>
      <c r="J9" s="109"/>
      <c r="K9" s="109"/>
      <c r="L9" s="109"/>
      <c r="M9" s="109"/>
      <c r="N9" s="109">
        <f t="shared" si="0"/>
        <v>0</v>
      </c>
      <c r="O9" s="109"/>
      <c r="P9" s="109">
        <f t="shared" si="1"/>
        <v>0</v>
      </c>
      <c r="Q9" s="109">
        <f t="shared" si="2"/>
        <v>0</v>
      </c>
      <c r="R9" s="109">
        <f t="shared" si="3"/>
        <v>0</v>
      </c>
      <c r="S9" s="109">
        <f t="shared" si="4"/>
        <v>0</v>
      </c>
      <c r="T9" s="109">
        <f t="shared" si="5"/>
        <v>0</v>
      </c>
      <c r="U9" s="109">
        <f t="shared" si="6"/>
        <v>0</v>
      </c>
      <c r="V9" s="109">
        <f t="shared" si="7"/>
        <v>0</v>
      </c>
      <c r="W9" s="109">
        <f t="shared" si="8"/>
        <v>0</v>
      </c>
      <c r="X9" s="109">
        <f t="shared" si="9"/>
        <v>0</v>
      </c>
      <c r="Y9" s="109">
        <f t="shared" si="10"/>
        <v>0</v>
      </c>
      <c r="Z9" s="109">
        <f t="shared" si="11"/>
        <v>0</v>
      </c>
    </row>
    <row r="10" spans="1:26"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116"/>
      <c r="O10" s="116"/>
      <c r="P10" s="99"/>
      <c r="Q10" s="116"/>
      <c r="R10" s="116"/>
      <c r="S10" s="116"/>
      <c r="T10" s="116"/>
      <c r="U10" s="116"/>
      <c r="V10" s="116"/>
      <c r="W10" s="116"/>
      <c r="X10" s="116"/>
      <c r="Y10" s="116"/>
      <c r="Z10" s="116"/>
    </row>
    <row r="11" spans="1:26">
      <c r="A11" s="288" t="s">
        <v>97</v>
      </c>
      <c r="B11" s="101" t="s">
        <v>95</v>
      </c>
      <c r="C11" s="101" t="s">
        <v>96</v>
      </c>
      <c r="D11" s="101" t="s">
        <v>95</v>
      </c>
      <c r="E11" s="101" t="s">
        <v>96</v>
      </c>
      <c r="F11" s="101" t="s">
        <v>95</v>
      </c>
      <c r="G11" s="101" t="s">
        <v>96</v>
      </c>
      <c r="H11" s="101" t="s">
        <v>95</v>
      </c>
      <c r="I11" s="101" t="s">
        <v>96</v>
      </c>
      <c r="J11" s="101" t="s">
        <v>95</v>
      </c>
      <c r="K11" s="101" t="s">
        <v>96</v>
      </c>
      <c r="L11" s="101" t="s">
        <v>95</v>
      </c>
      <c r="M11" s="101" t="s">
        <v>96</v>
      </c>
      <c r="N11" s="125" t="s">
        <v>95</v>
      </c>
      <c r="O11" s="192"/>
      <c r="P11" s="125" t="s">
        <v>96</v>
      </c>
      <c r="Q11" s="125" t="s">
        <v>95</v>
      </c>
      <c r="R11" s="125" t="s">
        <v>96</v>
      </c>
      <c r="S11" s="125" t="s">
        <v>95</v>
      </c>
      <c r="T11" s="125" t="s">
        <v>96</v>
      </c>
      <c r="U11" s="125" t="s">
        <v>95</v>
      </c>
      <c r="V11" s="125" t="s">
        <v>96</v>
      </c>
      <c r="W11" s="125" t="s">
        <v>95</v>
      </c>
      <c r="X11" s="125" t="s">
        <v>96</v>
      </c>
      <c r="Y11" s="125" t="s">
        <v>95</v>
      </c>
      <c r="Z11" s="125" t="s">
        <v>96</v>
      </c>
    </row>
    <row r="12" spans="1:26">
      <c r="A12" s="288"/>
      <c r="B12" s="289">
        <v>12</v>
      </c>
      <c r="C12" s="289"/>
      <c r="D12" s="289">
        <v>11</v>
      </c>
      <c r="E12" s="289"/>
      <c r="F12" s="285">
        <v>10</v>
      </c>
      <c r="G12" s="286"/>
      <c r="H12" s="285">
        <v>9</v>
      </c>
      <c r="I12" s="286"/>
      <c r="J12" s="285">
        <v>8</v>
      </c>
      <c r="K12" s="286"/>
      <c r="L12" s="285">
        <v>7</v>
      </c>
      <c r="M12" s="286"/>
      <c r="N12" s="285">
        <v>6</v>
      </c>
      <c r="O12" s="287"/>
      <c r="P12" s="286"/>
      <c r="Q12" s="285">
        <v>5</v>
      </c>
      <c r="R12" s="286"/>
      <c r="S12" s="285">
        <v>4</v>
      </c>
      <c r="T12" s="286"/>
      <c r="U12" s="285">
        <v>3</v>
      </c>
      <c r="V12" s="286"/>
      <c r="W12" s="285">
        <v>2</v>
      </c>
      <c r="X12" s="286"/>
      <c r="Y12" s="285">
        <v>1</v>
      </c>
      <c r="Z12" s="286"/>
    </row>
    <row r="14" spans="1:26" ht="20" thickBot="1">
      <c r="A14" s="290"/>
      <c r="B14" s="290"/>
      <c r="C14" s="204"/>
      <c r="D14" s="204"/>
      <c r="E14" s="204"/>
      <c r="F14" s="204"/>
      <c r="G14" s="127"/>
      <c r="H14" s="127"/>
      <c r="I14" s="127"/>
      <c r="Z14" s="102"/>
    </row>
    <row r="15" spans="1:26" ht="19">
      <c r="A15" s="263" t="s">
        <v>97</v>
      </c>
      <c r="B15" s="264"/>
      <c r="C15" s="147" t="s">
        <v>100</v>
      </c>
      <c r="D15" s="148" t="s">
        <v>115</v>
      </c>
      <c r="E15" s="146" t="s">
        <v>116</v>
      </c>
      <c r="F15" s="147" t="s">
        <v>117</v>
      </c>
      <c r="G15" s="128"/>
      <c r="H15" s="129"/>
      <c r="I15" s="128"/>
      <c r="M15" s="102"/>
      <c r="N15" s="3"/>
      <c r="O15" s="3"/>
      <c r="Z15" s="47"/>
    </row>
    <row r="16" spans="1:26">
      <c r="A16" s="144" t="s">
        <v>96</v>
      </c>
      <c r="B16" s="257">
        <v>12</v>
      </c>
      <c r="C16" s="268">
        <v>0</v>
      </c>
      <c r="D16" s="142">
        <v>-0.27740802744316251</v>
      </c>
      <c r="E16" s="113">
        <v>-1.8372015587362531E-3</v>
      </c>
      <c r="F16" s="149">
        <v>2.9165659120366382E-4</v>
      </c>
      <c r="G16" s="128"/>
      <c r="H16" s="129"/>
      <c r="I16" s="128"/>
      <c r="M16" s="102"/>
      <c r="N16" s="3"/>
      <c r="O16" s="3"/>
      <c r="Z16" s="58"/>
    </row>
    <row r="17" spans="1:26">
      <c r="A17" s="144" t="s">
        <v>95</v>
      </c>
      <c r="B17" s="258"/>
      <c r="C17" s="259"/>
      <c r="D17" s="142">
        <v>-0.27125240176836696</v>
      </c>
      <c r="E17" s="113">
        <v>-1.7963463349842529E-3</v>
      </c>
      <c r="F17" s="149">
        <v>2.8531623077178957E-4</v>
      </c>
      <c r="G17" s="128"/>
      <c r="H17" s="128"/>
      <c r="I17" s="128"/>
      <c r="M17" s="102"/>
      <c r="N17" s="3"/>
      <c r="O17" s="3"/>
      <c r="Z17" s="59"/>
    </row>
    <row r="18" spans="1:26">
      <c r="A18" s="144" t="s">
        <v>96</v>
      </c>
      <c r="B18" s="257">
        <v>11</v>
      </c>
      <c r="C18" s="268">
        <v>0</v>
      </c>
      <c r="D18" s="142">
        <v>-0.27125238929363499</v>
      </c>
      <c r="E18" s="113">
        <v>-1.7963462521887758E-3</v>
      </c>
      <c r="F18" s="149">
        <v>2.8531621792268188E-4</v>
      </c>
      <c r="G18" s="128"/>
      <c r="H18" s="128"/>
      <c r="I18" s="128"/>
      <c r="M18" s="102"/>
      <c r="N18" s="3"/>
      <c r="O18" s="3"/>
      <c r="Z18" s="3"/>
    </row>
    <row r="19" spans="1:26">
      <c r="A19" s="144" t="s">
        <v>95</v>
      </c>
      <c r="B19" s="258"/>
      <c r="C19" s="259"/>
      <c r="D19" s="142">
        <v>-0.26509676361883938</v>
      </c>
      <c r="E19" s="113">
        <v>-1.7554910284367773E-3</v>
      </c>
      <c r="F19" s="149">
        <v>2.7897585749080763E-4</v>
      </c>
      <c r="G19" s="128"/>
      <c r="H19" s="128"/>
      <c r="I19" s="128"/>
      <c r="M19" s="102"/>
      <c r="N19" s="3"/>
      <c r="O19" s="3"/>
      <c r="Z19" s="3"/>
    </row>
    <row r="20" spans="1:26">
      <c r="A20" s="144" t="s">
        <v>96</v>
      </c>
      <c r="B20" s="257">
        <v>10</v>
      </c>
      <c r="C20" s="268">
        <v>25</v>
      </c>
      <c r="D20" s="142">
        <v>-0.2080565754493606</v>
      </c>
      <c r="E20" s="113">
        <v>-4.1304047103845765E-3</v>
      </c>
      <c r="F20" s="149">
        <v>9.525238234777968E-3</v>
      </c>
      <c r="G20" s="129"/>
      <c r="H20" s="129"/>
      <c r="I20" s="129"/>
      <c r="M20" s="102"/>
      <c r="N20" s="3"/>
      <c r="O20" s="3"/>
      <c r="Z20" s="38"/>
    </row>
    <row r="21" spans="1:26">
      <c r="A21" s="144" t="s">
        <v>95</v>
      </c>
      <c r="B21" s="258"/>
      <c r="C21" s="259"/>
      <c r="D21" s="142">
        <v>-0.20322383491802753</v>
      </c>
      <c r="E21" s="113">
        <v>-4.0344701213654594E-3</v>
      </c>
      <c r="F21" s="149">
        <v>9.3041977393817921E-3</v>
      </c>
      <c r="G21" s="129"/>
      <c r="H21" s="129"/>
      <c r="I21" s="129"/>
      <c r="M21" s="102"/>
      <c r="N21" s="3"/>
      <c r="O21" s="3"/>
      <c r="Z21" s="3"/>
    </row>
    <row r="22" spans="1:26">
      <c r="A22" s="144" t="s">
        <v>96</v>
      </c>
      <c r="B22" s="257">
        <v>9</v>
      </c>
      <c r="C22" s="268">
        <v>-25</v>
      </c>
      <c r="D22" s="142">
        <v>-0.20843531686208219</v>
      </c>
      <c r="E22" s="113">
        <v>-3.8174853622370206E-3</v>
      </c>
      <c r="F22" s="149">
        <v>-8.9537038551621047E-3</v>
      </c>
      <c r="G22" s="128"/>
      <c r="H22" s="128"/>
      <c r="I22" s="128"/>
      <c r="M22" s="102"/>
      <c r="N22" s="3"/>
      <c r="O22" s="3"/>
      <c r="Z22" s="29"/>
    </row>
    <row r="23" spans="1:26">
      <c r="A23" s="144" t="s">
        <v>95</v>
      </c>
      <c r="B23" s="258"/>
      <c r="C23" s="259"/>
      <c r="D23" s="142">
        <v>-0.20348137884687684</v>
      </c>
      <c r="E23" s="113">
        <v>-3.7265969259520615E-3</v>
      </c>
      <c r="F23" s="149">
        <v>-8.740814370019041E-3</v>
      </c>
      <c r="G23" s="128"/>
      <c r="H23" s="128"/>
      <c r="I23" s="128"/>
      <c r="M23" s="102"/>
      <c r="N23" s="3"/>
      <c r="O23" s="3"/>
      <c r="Z23" s="29"/>
    </row>
    <row r="24" spans="1:26">
      <c r="A24" s="144" t="s">
        <v>96</v>
      </c>
      <c r="B24" s="257">
        <v>8</v>
      </c>
      <c r="C24" s="268">
        <v>90</v>
      </c>
      <c r="D24" s="142">
        <v>3.7513931840031114E-2</v>
      </c>
      <c r="E24" s="113">
        <v>-1.3760627074636453E-2</v>
      </c>
      <c r="F24" s="149">
        <v>-2.662951453191011E-4</v>
      </c>
      <c r="G24" s="128"/>
      <c r="H24" s="128"/>
      <c r="I24" s="128"/>
      <c r="M24" s="3"/>
      <c r="N24" s="3"/>
      <c r="O24" s="3"/>
      <c r="Z24" s="29"/>
    </row>
    <row r="25" spans="1:26">
      <c r="A25" s="144" t="s">
        <v>95</v>
      </c>
      <c r="B25" s="258"/>
      <c r="C25" s="259"/>
      <c r="D25" s="142">
        <v>3.6602129644149189E-2</v>
      </c>
      <c r="E25" s="113">
        <v>-1.3425513922967007E-2</v>
      </c>
      <c r="F25" s="149">
        <v>-2.5995478488722684E-4</v>
      </c>
      <c r="G25" s="128"/>
      <c r="H25" s="128"/>
      <c r="I25" s="128"/>
      <c r="M25" s="3"/>
      <c r="N25" s="3"/>
      <c r="O25" s="3"/>
    </row>
    <row r="26" spans="1:26">
      <c r="A26" s="144" t="s">
        <v>96</v>
      </c>
      <c r="B26" s="257">
        <v>7</v>
      </c>
      <c r="C26" s="268">
        <v>90</v>
      </c>
      <c r="D26" s="142">
        <v>3.660212779632923E-2</v>
      </c>
      <c r="E26" s="113">
        <v>-1.3425513243840795E-2</v>
      </c>
      <c r="F26" s="149">
        <v>-2.5995477203811921E-4</v>
      </c>
      <c r="G26" s="128"/>
      <c r="H26" s="128"/>
      <c r="I26" s="128"/>
      <c r="M26" s="3"/>
      <c r="N26" s="3"/>
      <c r="O26" s="3"/>
    </row>
    <row r="27" spans="1:26" ht="17" thickBot="1">
      <c r="A27" s="145" t="s">
        <v>95</v>
      </c>
      <c r="B27" s="267"/>
      <c r="C27" s="271"/>
      <c r="D27" s="143">
        <v>3.5690325600447298E-2</v>
      </c>
      <c r="E27" s="141">
        <v>-1.3090400092171344E-2</v>
      </c>
      <c r="F27" s="150">
        <v>-2.5361441160624501E-4</v>
      </c>
      <c r="G27" s="128"/>
      <c r="H27" s="128"/>
      <c r="I27" s="128"/>
      <c r="N27" s="3"/>
      <c r="O27" s="3"/>
    </row>
    <row r="28" spans="1:26">
      <c r="A28" s="151" t="s">
        <v>96</v>
      </c>
      <c r="B28" s="258">
        <v>6</v>
      </c>
      <c r="C28" s="259">
        <v>90</v>
      </c>
      <c r="D28" s="152">
        <v>-3.725384843967737E-2</v>
      </c>
      <c r="E28" s="153">
        <v>1.371865144215547E-2</v>
      </c>
      <c r="F28" s="154">
        <v>2.5361441160624495E-4</v>
      </c>
      <c r="G28" s="128"/>
      <c r="H28" s="128"/>
      <c r="I28" s="128"/>
      <c r="N28" s="99"/>
      <c r="O28" s="99"/>
    </row>
    <row r="29" spans="1:26">
      <c r="A29" s="144" t="s">
        <v>95</v>
      </c>
      <c r="B29" s="252"/>
      <c r="C29" s="254"/>
      <c r="D29" s="142">
        <v>-3.8165650635559295E-2</v>
      </c>
      <c r="E29" s="113">
        <v>1.4053764593824921E-2</v>
      </c>
      <c r="F29" s="149">
        <v>2.5995477203811916E-4</v>
      </c>
      <c r="G29" s="128"/>
      <c r="H29" s="128"/>
      <c r="I29" s="128"/>
      <c r="N29" s="3"/>
      <c r="O29" s="3"/>
    </row>
    <row r="30" spans="1:26">
      <c r="A30" s="144" t="s">
        <v>96</v>
      </c>
      <c r="B30" s="252">
        <v>5</v>
      </c>
      <c r="C30" s="254">
        <v>90</v>
      </c>
      <c r="D30" s="142">
        <v>-3.8165652483379255E-2</v>
      </c>
      <c r="E30" s="113">
        <v>1.4053765272951133E-2</v>
      </c>
      <c r="F30" s="149">
        <v>2.5995478488722678E-4</v>
      </c>
      <c r="G30" s="128"/>
      <c r="H30" s="128"/>
      <c r="I30" s="128"/>
      <c r="N30" s="3"/>
      <c r="O30" s="3"/>
    </row>
    <row r="31" spans="1:26">
      <c r="A31" s="144" t="s">
        <v>95</v>
      </c>
      <c r="B31" s="252"/>
      <c r="C31" s="254"/>
      <c r="D31" s="142">
        <v>-3.9077454679261187E-2</v>
      </c>
      <c r="E31" s="113">
        <v>1.4388878424620579E-2</v>
      </c>
      <c r="F31" s="149">
        <v>2.6629514531910099E-4</v>
      </c>
      <c r="G31" s="128"/>
      <c r="H31" s="128"/>
      <c r="I31" s="128"/>
      <c r="N31" s="3"/>
      <c r="O31" s="3"/>
    </row>
    <row r="32" spans="1:26">
      <c r="A32" s="144" t="s">
        <v>96</v>
      </c>
      <c r="B32" s="252">
        <v>4</v>
      </c>
      <c r="C32" s="254">
        <v>-25</v>
      </c>
      <c r="D32" s="142">
        <v>0.21264940882009967</v>
      </c>
      <c r="E32" s="113">
        <v>3.908031619054432E-3</v>
      </c>
      <c r="F32" s="149">
        <v>9.1419021409036728E-3</v>
      </c>
      <c r="G32" s="128"/>
      <c r="H32" s="128"/>
      <c r="I32" s="128"/>
      <c r="N32" s="3"/>
      <c r="O32" s="3"/>
    </row>
    <row r="33" spans="1:30">
      <c r="A33" s="144" t="s">
        <v>95</v>
      </c>
      <c r="B33" s="252"/>
      <c r="C33" s="254"/>
      <c r="D33" s="142">
        <v>0.21760334683530505</v>
      </c>
      <c r="E33" s="113">
        <v>3.9989200553393915E-3</v>
      </c>
      <c r="F33" s="149">
        <v>9.3547916260467399E-3</v>
      </c>
      <c r="G33" s="128"/>
      <c r="H33" s="128"/>
      <c r="I33" s="128"/>
      <c r="N33" s="3"/>
      <c r="O33" s="3"/>
    </row>
    <row r="34" spans="1:30">
      <c r="A34" s="144" t="s">
        <v>96</v>
      </c>
      <c r="B34" s="252">
        <v>3</v>
      </c>
      <c r="C34" s="254">
        <v>25</v>
      </c>
      <c r="D34" s="142">
        <v>0.21239186489125039</v>
      </c>
      <c r="E34" s="113">
        <v>4.2159048144678312E-3</v>
      </c>
      <c r="F34" s="149">
        <v>-9.7052855102664256E-3</v>
      </c>
      <c r="G34" s="128"/>
      <c r="H34" s="128"/>
      <c r="I34" s="128"/>
      <c r="N34" s="3"/>
      <c r="O34" s="3"/>
    </row>
    <row r="35" spans="1:30">
      <c r="A35" s="144" t="s">
        <v>95</v>
      </c>
      <c r="B35" s="252"/>
      <c r="C35" s="254"/>
      <c r="D35" s="142">
        <v>0.21722460542258346</v>
      </c>
      <c r="E35" s="113">
        <v>4.3118394034869483E-3</v>
      </c>
      <c r="F35" s="149">
        <v>-9.9263260056626015E-3</v>
      </c>
      <c r="G35" s="128"/>
      <c r="H35" s="128"/>
      <c r="I35" s="128"/>
      <c r="N35" s="3"/>
      <c r="O35" s="3"/>
    </row>
    <row r="36" spans="1:30">
      <c r="A36" s="144" t="s">
        <v>96</v>
      </c>
      <c r="B36" s="252">
        <v>2</v>
      </c>
      <c r="C36" s="254">
        <v>0</v>
      </c>
      <c r="D36" s="142">
        <v>0.27659829282793907</v>
      </c>
      <c r="E36" s="113">
        <v>1.8397686422578796E-3</v>
      </c>
      <c r="F36" s="149">
        <v>-2.7897585749080763E-4</v>
      </c>
      <c r="G36" s="128"/>
      <c r="H36" s="128"/>
      <c r="I36" s="128"/>
      <c r="N36" s="3"/>
      <c r="O36" s="3"/>
    </row>
    <row r="37" spans="1:30">
      <c r="A37" s="144" t="s">
        <v>95</v>
      </c>
      <c r="B37" s="252"/>
      <c r="C37" s="254"/>
      <c r="D37" s="142">
        <v>0.28275391850273462</v>
      </c>
      <c r="E37" s="113">
        <v>1.8806238660098789E-3</v>
      </c>
      <c r="F37" s="149">
        <v>-2.8531621792268188E-4</v>
      </c>
      <c r="G37" s="128"/>
      <c r="H37" s="128"/>
      <c r="I37" s="128"/>
      <c r="N37" s="3"/>
      <c r="O37" s="3"/>
    </row>
    <row r="38" spans="1:30">
      <c r="A38" s="144" t="s">
        <v>96</v>
      </c>
      <c r="B38" s="252">
        <v>1</v>
      </c>
      <c r="C38" s="254">
        <v>0</v>
      </c>
      <c r="D38" s="142">
        <v>0.28275393097746659</v>
      </c>
      <c r="E38" s="113">
        <v>1.8806239488053556E-3</v>
      </c>
      <c r="F38" s="149">
        <v>-2.8531623077178957E-4</v>
      </c>
      <c r="G38" s="128"/>
      <c r="H38" s="128"/>
      <c r="I38" s="128"/>
      <c r="N38" s="3"/>
      <c r="O38" s="3"/>
    </row>
    <row r="39" spans="1:30" ht="17" thickBot="1">
      <c r="A39" s="145" t="s">
        <v>95</v>
      </c>
      <c r="B39" s="253"/>
      <c r="C39" s="255"/>
      <c r="D39" s="143">
        <v>0.2889095566522622</v>
      </c>
      <c r="E39" s="141">
        <v>1.9214791725573558E-3</v>
      </c>
      <c r="F39" s="150">
        <v>-2.9165659120366382E-4</v>
      </c>
    </row>
    <row r="40" spans="1:30" ht="17" thickBot="1">
      <c r="T40" s="68" t="s">
        <v>106</v>
      </c>
      <c r="Y40" s="68" t="s">
        <v>118</v>
      </c>
      <c r="AA40" s="68" t="s">
        <v>121</v>
      </c>
    </row>
    <row r="41" spans="1:30" ht="19">
      <c r="A41" s="263" t="s">
        <v>97</v>
      </c>
      <c r="B41" s="264"/>
      <c r="C41" s="147" t="s">
        <v>100</v>
      </c>
      <c r="D41" s="148" t="s">
        <v>107</v>
      </c>
      <c r="E41" s="146" t="s">
        <v>108</v>
      </c>
      <c r="F41" s="146" t="s">
        <v>109</v>
      </c>
      <c r="G41" s="146" t="s">
        <v>110</v>
      </c>
      <c r="H41" s="147" t="s">
        <v>111</v>
      </c>
      <c r="I41" s="157" t="s">
        <v>120</v>
      </c>
      <c r="J41" s="158" t="s">
        <v>119</v>
      </c>
      <c r="K41" s="157" t="s">
        <v>122</v>
      </c>
      <c r="L41" s="159" t="s">
        <v>123</v>
      </c>
      <c r="M41" s="159" t="s">
        <v>124</v>
      </c>
      <c r="N41" s="160" t="s">
        <v>125</v>
      </c>
      <c r="O41" s="208"/>
      <c r="Q41" s="263" t="s">
        <v>97</v>
      </c>
      <c r="R41" s="264"/>
      <c r="S41" s="147" t="s">
        <v>100</v>
      </c>
      <c r="T41" s="148" t="s">
        <v>107</v>
      </c>
      <c r="U41" s="146" t="s">
        <v>108</v>
      </c>
      <c r="V41" s="146" t="s">
        <v>109</v>
      </c>
      <c r="W41" s="146" t="s">
        <v>110</v>
      </c>
      <c r="X41" s="147" t="s">
        <v>111</v>
      </c>
      <c r="Y41" s="157" t="s">
        <v>120</v>
      </c>
      <c r="Z41" s="158" t="s">
        <v>119</v>
      </c>
      <c r="AA41" s="157" t="s">
        <v>122</v>
      </c>
      <c r="AB41" s="159" t="s">
        <v>123</v>
      </c>
      <c r="AC41" s="159" t="s">
        <v>124</v>
      </c>
      <c r="AD41" s="160" t="s">
        <v>125</v>
      </c>
    </row>
    <row r="42" spans="1:30">
      <c r="A42" s="144" t="s">
        <v>96</v>
      </c>
      <c r="B42" s="257">
        <v>12</v>
      </c>
      <c r="C42" s="268">
        <v>0</v>
      </c>
      <c r="D42" s="171" t="s">
        <v>112</v>
      </c>
      <c r="E42" s="164">
        <v>5.3999999999999293</v>
      </c>
      <c r="F42" s="163" t="s">
        <v>112</v>
      </c>
      <c r="G42" s="164">
        <v>133.89000000002321</v>
      </c>
      <c r="H42" s="165">
        <v>233.11000000001877</v>
      </c>
      <c r="I42" s="166">
        <v>6.3199999999999097</v>
      </c>
      <c r="J42" s="167">
        <v>-5.0899999999980459</v>
      </c>
      <c r="K42" s="172" t="s">
        <v>112</v>
      </c>
      <c r="L42" s="169">
        <v>5.3999999999999293</v>
      </c>
      <c r="M42" s="168" t="s">
        <v>112</v>
      </c>
      <c r="N42" s="201">
        <v>124.45000000002676</v>
      </c>
      <c r="O42" s="209"/>
      <c r="Q42" s="144" t="s">
        <v>96</v>
      </c>
      <c r="R42" s="257">
        <v>12</v>
      </c>
      <c r="S42" s="268">
        <v>0</v>
      </c>
      <c r="T42" s="171" t="s">
        <v>112</v>
      </c>
      <c r="U42" s="164">
        <v>5.3999999999999293</v>
      </c>
      <c r="V42" s="163" t="s">
        <v>112</v>
      </c>
      <c r="W42" s="164">
        <v>133.89000000002321</v>
      </c>
      <c r="X42" s="165">
        <v>233.11000000001877</v>
      </c>
      <c r="Y42" s="166">
        <v>6.3199999999999097</v>
      </c>
      <c r="Z42" s="167">
        <v>-5.0899999999980459</v>
      </c>
      <c r="AA42" s="172" t="s">
        <v>112</v>
      </c>
      <c r="AB42" s="169">
        <v>5.3999999999999293</v>
      </c>
      <c r="AC42" s="168" t="s">
        <v>112</v>
      </c>
      <c r="AD42" s="201">
        <v>124.45000000002676</v>
      </c>
    </row>
    <row r="43" spans="1:30">
      <c r="A43" s="144" t="s">
        <v>95</v>
      </c>
      <c r="B43" s="258"/>
      <c r="C43" s="259"/>
      <c r="D43" s="171" t="s">
        <v>112</v>
      </c>
      <c r="E43" s="164">
        <v>5.5199999999999267</v>
      </c>
      <c r="F43" s="163" t="s">
        <v>112</v>
      </c>
      <c r="G43" s="164">
        <v>136.94000000002043</v>
      </c>
      <c r="H43" s="165">
        <v>238.31000000001995</v>
      </c>
      <c r="I43" s="166">
        <v>6.4599999999999067</v>
      </c>
      <c r="J43" s="167">
        <v>-5.2099999999980433</v>
      </c>
      <c r="K43" s="172" t="s">
        <v>112</v>
      </c>
      <c r="L43" s="169">
        <v>5.5199999999999267</v>
      </c>
      <c r="M43" s="168" t="s">
        <v>112</v>
      </c>
      <c r="N43" s="201">
        <v>127.2700000000282</v>
      </c>
      <c r="O43" s="209"/>
      <c r="Q43" s="144" t="s">
        <v>95</v>
      </c>
      <c r="R43" s="258"/>
      <c r="S43" s="259"/>
      <c r="T43" s="171" t="s">
        <v>112</v>
      </c>
      <c r="U43" s="164">
        <v>5.5199999999999267</v>
      </c>
      <c r="V43" s="163" t="s">
        <v>112</v>
      </c>
      <c r="W43" s="164">
        <v>136.94000000002043</v>
      </c>
      <c r="X43" s="165">
        <v>238.31000000001995</v>
      </c>
      <c r="Y43" s="166">
        <v>6.4599999999999067</v>
      </c>
      <c r="Z43" s="167">
        <v>-5.2099999999980433</v>
      </c>
      <c r="AA43" s="172" t="s">
        <v>112</v>
      </c>
      <c r="AB43" s="169">
        <v>5.5199999999999267</v>
      </c>
      <c r="AC43" s="168" t="s">
        <v>112</v>
      </c>
      <c r="AD43" s="201">
        <v>127.2700000000282</v>
      </c>
    </row>
    <row r="44" spans="1:30">
      <c r="A44" s="144" t="s">
        <v>96</v>
      </c>
      <c r="B44" s="257">
        <v>11</v>
      </c>
      <c r="C44" s="268">
        <v>0</v>
      </c>
      <c r="D44" s="171" t="s">
        <v>112</v>
      </c>
      <c r="E44" s="164">
        <v>5.5199999999999267</v>
      </c>
      <c r="F44" s="163" t="s">
        <v>112</v>
      </c>
      <c r="G44" s="164">
        <v>136.94000000002043</v>
      </c>
      <c r="H44" s="165">
        <v>238.31000000001995</v>
      </c>
      <c r="I44" s="166">
        <v>6.4599999999999067</v>
      </c>
      <c r="J44" s="167">
        <v>-5.2099999999980433</v>
      </c>
      <c r="K44" s="172" t="s">
        <v>112</v>
      </c>
      <c r="L44" s="169">
        <v>5.5199999999999267</v>
      </c>
      <c r="M44" s="168" t="s">
        <v>112</v>
      </c>
      <c r="N44" s="201">
        <v>127.2700000000282</v>
      </c>
      <c r="O44" s="209"/>
      <c r="Q44" s="144" t="s">
        <v>96</v>
      </c>
      <c r="R44" s="257">
        <v>11</v>
      </c>
      <c r="S44" s="268">
        <v>0</v>
      </c>
      <c r="T44" s="171" t="s">
        <v>112</v>
      </c>
      <c r="U44" s="164">
        <v>5.5199999999999267</v>
      </c>
      <c r="V44" s="163" t="s">
        <v>112</v>
      </c>
      <c r="W44" s="164">
        <v>136.94000000002043</v>
      </c>
      <c r="X44" s="165">
        <v>238.31000000001995</v>
      </c>
      <c r="Y44" s="166">
        <v>6.4599999999999067</v>
      </c>
      <c r="Z44" s="167">
        <v>-5.2099999999980433</v>
      </c>
      <c r="AA44" s="172" t="s">
        <v>112</v>
      </c>
      <c r="AB44" s="169">
        <v>5.5199999999999267</v>
      </c>
      <c r="AC44" s="168" t="s">
        <v>112</v>
      </c>
      <c r="AD44" s="201">
        <v>127.2700000000282</v>
      </c>
    </row>
    <row r="45" spans="1:30">
      <c r="A45" s="144" t="s">
        <v>95</v>
      </c>
      <c r="B45" s="258"/>
      <c r="C45" s="259"/>
      <c r="D45" s="171" t="s">
        <v>112</v>
      </c>
      <c r="E45" s="164">
        <v>5.649999999999924</v>
      </c>
      <c r="F45" s="163" t="s">
        <v>112</v>
      </c>
      <c r="G45" s="164">
        <v>140.13000000001753</v>
      </c>
      <c r="H45" s="165">
        <v>243.71000000002118</v>
      </c>
      <c r="I45" s="166">
        <v>6.6099999999999035</v>
      </c>
      <c r="J45" s="167">
        <v>-5.3299999999980407</v>
      </c>
      <c r="K45" s="172" t="s">
        <v>112</v>
      </c>
      <c r="L45" s="169">
        <v>5.649999999999924</v>
      </c>
      <c r="M45" s="168" t="s">
        <v>112</v>
      </c>
      <c r="N45" s="201">
        <v>130.23000000002654</v>
      </c>
      <c r="O45" s="209"/>
      <c r="Q45" s="144" t="s">
        <v>95</v>
      </c>
      <c r="R45" s="258"/>
      <c r="S45" s="259"/>
      <c r="T45" s="171" t="s">
        <v>112</v>
      </c>
      <c r="U45" s="164">
        <v>5.649999999999924</v>
      </c>
      <c r="V45" s="163" t="s">
        <v>112</v>
      </c>
      <c r="W45" s="164">
        <v>140.13000000001753</v>
      </c>
      <c r="X45" s="165">
        <v>243.71000000002118</v>
      </c>
      <c r="Y45" s="166">
        <v>6.6099999999999035</v>
      </c>
      <c r="Z45" s="167">
        <v>-5.3299999999980407</v>
      </c>
      <c r="AA45" s="172" t="s">
        <v>112</v>
      </c>
      <c r="AB45" s="169">
        <v>5.649999999999924</v>
      </c>
      <c r="AC45" s="168" t="s">
        <v>112</v>
      </c>
      <c r="AD45" s="201">
        <v>130.23000000002654</v>
      </c>
    </row>
    <row r="46" spans="1:30">
      <c r="A46" s="144" t="s">
        <v>96</v>
      </c>
      <c r="B46" s="257">
        <v>10</v>
      </c>
      <c r="C46" s="268">
        <v>25</v>
      </c>
      <c r="D46" s="171" t="s">
        <v>112</v>
      </c>
      <c r="E46" s="164">
        <v>7.1999999999998909</v>
      </c>
      <c r="F46" s="163" t="s">
        <v>112</v>
      </c>
      <c r="G46" s="164">
        <v>59.549999999996722</v>
      </c>
      <c r="H46" s="165">
        <v>7.1099999999999834</v>
      </c>
      <c r="I46" s="166">
        <v>6.7399999999999007</v>
      </c>
      <c r="J46" s="167">
        <v>-4.2699999999980633</v>
      </c>
      <c r="K46" s="172" t="s">
        <v>112</v>
      </c>
      <c r="L46" s="169">
        <v>7.1999999999998909</v>
      </c>
      <c r="M46" s="168" t="s">
        <v>112</v>
      </c>
      <c r="N46" s="201">
        <v>7.9599999999998747</v>
      </c>
      <c r="O46" s="209"/>
      <c r="Q46" s="144" t="s">
        <v>96</v>
      </c>
      <c r="R46" s="257">
        <v>10</v>
      </c>
      <c r="S46" s="268">
        <v>25</v>
      </c>
      <c r="T46" s="171" t="s">
        <v>112</v>
      </c>
      <c r="U46" s="164">
        <v>7.1999999999998909</v>
      </c>
      <c r="V46" s="163" t="s">
        <v>112</v>
      </c>
      <c r="W46" s="164">
        <v>59.549999999996722</v>
      </c>
      <c r="X46" s="165">
        <v>7.1099999999999834</v>
      </c>
      <c r="Y46" s="166">
        <v>6.7399999999999007</v>
      </c>
      <c r="Z46" s="167">
        <v>-4.2699999999980633</v>
      </c>
      <c r="AA46" s="172" t="s">
        <v>112</v>
      </c>
      <c r="AB46" s="169">
        <v>7.1999999999998909</v>
      </c>
      <c r="AC46" s="168" t="s">
        <v>112</v>
      </c>
      <c r="AD46" s="201">
        <v>7.9599999999998747</v>
      </c>
    </row>
    <row r="47" spans="1:30">
      <c r="A47" s="144" t="s">
        <v>95</v>
      </c>
      <c r="B47" s="258"/>
      <c r="C47" s="259"/>
      <c r="D47" s="171" t="s">
        <v>112</v>
      </c>
      <c r="E47" s="164">
        <v>7.3799999999998871</v>
      </c>
      <c r="F47" s="163" t="s">
        <v>112</v>
      </c>
      <c r="G47" s="164">
        <v>60.969999999996439</v>
      </c>
      <c r="H47" s="165">
        <v>7.2599999999999829</v>
      </c>
      <c r="I47" s="166">
        <v>6.8999999999998973</v>
      </c>
      <c r="J47" s="167">
        <v>-4.3699999999980612</v>
      </c>
      <c r="K47" s="172" t="s">
        <v>112</v>
      </c>
      <c r="L47" s="169">
        <v>7.3799999999998871</v>
      </c>
      <c r="M47" s="168" t="s">
        <v>112</v>
      </c>
      <c r="N47" s="201">
        <v>8.1499999999998707</v>
      </c>
      <c r="O47" s="209"/>
      <c r="Q47" s="144" t="s">
        <v>95</v>
      </c>
      <c r="R47" s="258"/>
      <c r="S47" s="259"/>
      <c r="T47" s="171" t="s">
        <v>112</v>
      </c>
      <c r="U47" s="164">
        <v>7.3799999999998871</v>
      </c>
      <c r="V47" s="163" t="s">
        <v>112</v>
      </c>
      <c r="W47" s="164">
        <v>60.969999999996439</v>
      </c>
      <c r="X47" s="165">
        <v>7.2599999999999829</v>
      </c>
      <c r="Y47" s="166">
        <v>6.8999999999998973</v>
      </c>
      <c r="Z47" s="167">
        <v>-4.3699999999980612</v>
      </c>
      <c r="AA47" s="172" t="s">
        <v>112</v>
      </c>
      <c r="AB47" s="169">
        <v>7.3799999999998871</v>
      </c>
      <c r="AC47" s="168" t="s">
        <v>112</v>
      </c>
      <c r="AD47" s="201">
        <v>8.1499999999998707</v>
      </c>
    </row>
    <row r="48" spans="1:30">
      <c r="A48" s="144" t="s">
        <v>96</v>
      </c>
      <c r="B48" s="257">
        <v>9</v>
      </c>
      <c r="C48" s="268">
        <v>-25</v>
      </c>
      <c r="D48" s="171" t="s">
        <v>112</v>
      </c>
      <c r="E48" s="164">
        <v>7.1899999999998911</v>
      </c>
      <c r="F48" s="163" t="s">
        <v>112</v>
      </c>
      <c r="G48" s="164">
        <v>64.439999999996061</v>
      </c>
      <c r="H48" s="165">
        <v>7.5599999999999818</v>
      </c>
      <c r="I48" s="166">
        <v>6.869999999999898</v>
      </c>
      <c r="J48" s="167">
        <v>-4.4399999999980597</v>
      </c>
      <c r="K48" s="172" t="s">
        <v>112</v>
      </c>
      <c r="L48" s="169">
        <v>7.1899999999998911</v>
      </c>
      <c r="M48" s="168" t="s">
        <v>112</v>
      </c>
      <c r="N48" s="201">
        <v>8.4599999999998641</v>
      </c>
      <c r="O48" s="209"/>
      <c r="Q48" s="144" t="s">
        <v>96</v>
      </c>
      <c r="R48" s="257">
        <v>9</v>
      </c>
      <c r="S48" s="268">
        <v>-25</v>
      </c>
      <c r="T48" s="171" t="s">
        <v>112</v>
      </c>
      <c r="U48" s="164">
        <v>7.1899999999998911</v>
      </c>
      <c r="V48" s="163" t="s">
        <v>112</v>
      </c>
      <c r="W48" s="164">
        <v>64.439999999996061</v>
      </c>
      <c r="X48" s="165">
        <v>7.5599999999999818</v>
      </c>
      <c r="Y48" s="166">
        <v>6.869999999999898</v>
      </c>
      <c r="Z48" s="167">
        <v>-4.4399999999980597</v>
      </c>
      <c r="AA48" s="172" t="s">
        <v>112</v>
      </c>
      <c r="AB48" s="169">
        <v>7.1899999999998911</v>
      </c>
      <c r="AC48" s="168" t="s">
        <v>112</v>
      </c>
      <c r="AD48" s="201">
        <v>8.4599999999998641</v>
      </c>
    </row>
    <row r="49" spans="1:30">
      <c r="A49" s="144" t="s">
        <v>95</v>
      </c>
      <c r="B49" s="258"/>
      <c r="C49" s="259"/>
      <c r="D49" s="171" t="s">
        <v>112</v>
      </c>
      <c r="E49" s="164">
        <v>7.3699999999998873</v>
      </c>
      <c r="F49" s="163" t="s">
        <v>112</v>
      </c>
      <c r="G49" s="164">
        <v>66.009999999996865</v>
      </c>
      <c r="H49" s="165">
        <v>7.7599999999999811</v>
      </c>
      <c r="I49" s="166">
        <v>7.0399999999998943</v>
      </c>
      <c r="J49" s="167">
        <v>-4.5499999999980574</v>
      </c>
      <c r="K49" s="172" t="s">
        <v>112</v>
      </c>
      <c r="L49" s="169">
        <v>7.3699999999998873</v>
      </c>
      <c r="M49" s="168" t="s">
        <v>112</v>
      </c>
      <c r="N49" s="201">
        <v>8.6599999999998598</v>
      </c>
      <c r="O49" s="209"/>
      <c r="Q49" s="144" t="s">
        <v>95</v>
      </c>
      <c r="R49" s="258"/>
      <c r="S49" s="259"/>
      <c r="T49" s="171" t="s">
        <v>112</v>
      </c>
      <c r="U49" s="164">
        <v>7.3699999999998873</v>
      </c>
      <c r="V49" s="163" t="s">
        <v>112</v>
      </c>
      <c r="W49" s="164">
        <v>66.009999999996865</v>
      </c>
      <c r="X49" s="165">
        <v>7.7599999999999811</v>
      </c>
      <c r="Y49" s="166">
        <v>7.0399999999998943</v>
      </c>
      <c r="Z49" s="167">
        <v>-4.5499999999980574</v>
      </c>
      <c r="AA49" s="172" t="s">
        <v>112</v>
      </c>
      <c r="AB49" s="169">
        <v>7.3699999999998873</v>
      </c>
      <c r="AC49" s="168" t="s">
        <v>112</v>
      </c>
      <c r="AD49" s="201">
        <v>8.6599999999998598</v>
      </c>
    </row>
    <row r="50" spans="1:30">
      <c r="A50" s="144" t="s">
        <v>96</v>
      </c>
      <c r="B50" s="257">
        <v>8</v>
      </c>
      <c r="C50" s="268">
        <v>90</v>
      </c>
      <c r="D50" s="196">
        <v>39.980000000000615</v>
      </c>
      <c r="E50" s="163" t="s">
        <v>112</v>
      </c>
      <c r="F50" s="163" t="s">
        <v>112</v>
      </c>
      <c r="G50" s="164">
        <v>17.869999999999994</v>
      </c>
      <c r="H50" s="165">
        <v>255.31000000002382</v>
      </c>
      <c r="I50" s="166">
        <v>15.159999999999721</v>
      </c>
      <c r="J50" s="167">
        <v>-2.829999999998094</v>
      </c>
      <c r="K50" s="200">
        <v>39.500000000000711</v>
      </c>
      <c r="L50" s="168" t="s">
        <v>112</v>
      </c>
      <c r="M50" s="169">
        <v>2.8999999999999821</v>
      </c>
      <c r="N50" s="170" t="s">
        <v>112</v>
      </c>
      <c r="O50" s="210"/>
      <c r="P50" s="282" t="s">
        <v>126</v>
      </c>
      <c r="Q50" s="211" t="s">
        <v>96</v>
      </c>
      <c r="R50" s="276">
        <v>8</v>
      </c>
      <c r="S50" s="291">
        <v>90</v>
      </c>
      <c r="T50" s="196">
        <v>39.980000000000615</v>
      </c>
      <c r="U50" s="163" t="s">
        <v>112</v>
      </c>
      <c r="V50" s="163" t="s">
        <v>112</v>
      </c>
      <c r="W50" s="164">
        <v>17.869999999999994</v>
      </c>
      <c r="X50" s="165">
        <v>255.31000000002382</v>
      </c>
      <c r="Y50" s="166">
        <v>15.159999999999721</v>
      </c>
      <c r="Z50" s="167">
        <v>-2.829999999998094</v>
      </c>
      <c r="AA50" s="200">
        <v>39.500000000000711</v>
      </c>
      <c r="AB50" s="168" t="s">
        <v>112</v>
      </c>
      <c r="AC50" s="169">
        <v>2.8999999999999821</v>
      </c>
      <c r="AD50" s="170" t="s">
        <v>112</v>
      </c>
    </row>
    <row r="51" spans="1:30">
      <c r="A51" s="144" t="s">
        <v>95</v>
      </c>
      <c r="B51" s="258"/>
      <c r="C51" s="259"/>
      <c r="D51" s="196">
        <v>40.980000000000416</v>
      </c>
      <c r="E51" s="163" t="s">
        <v>112</v>
      </c>
      <c r="F51" s="163" t="s">
        <v>112</v>
      </c>
      <c r="G51" s="164">
        <v>18.320000000000064</v>
      </c>
      <c r="H51" s="165">
        <v>261.56000000002524</v>
      </c>
      <c r="I51" s="166">
        <v>15.529999999999713</v>
      </c>
      <c r="J51" s="167">
        <v>-2.8999999999980925</v>
      </c>
      <c r="K51" s="200">
        <v>40.480000000000516</v>
      </c>
      <c r="L51" s="168" t="s">
        <v>112</v>
      </c>
      <c r="M51" s="169">
        <v>2.9699999999999807</v>
      </c>
      <c r="N51" s="170" t="s">
        <v>112</v>
      </c>
      <c r="O51" s="210"/>
      <c r="P51" s="282"/>
      <c r="Q51" s="144" t="s">
        <v>95</v>
      </c>
      <c r="R51" s="277"/>
      <c r="S51" s="292"/>
      <c r="T51" s="196">
        <v>40.980000000000416</v>
      </c>
      <c r="U51" s="163" t="s">
        <v>112</v>
      </c>
      <c r="V51" s="163" t="s">
        <v>112</v>
      </c>
      <c r="W51" s="164">
        <v>18.320000000000064</v>
      </c>
      <c r="X51" s="165">
        <v>261.56000000002524</v>
      </c>
      <c r="Y51" s="166">
        <v>15.529999999999713</v>
      </c>
      <c r="Z51" s="167">
        <v>-2.8999999999980925</v>
      </c>
      <c r="AA51" s="200">
        <v>40.480000000000516</v>
      </c>
      <c r="AB51" s="168" t="s">
        <v>112</v>
      </c>
      <c r="AC51" s="169">
        <v>2.9699999999999807</v>
      </c>
      <c r="AD51" s="170" t="s">
        <v>112</v>
      </c>
    </row>
    <row r="52" spans="1:30">
      <c r="A52" s="144" t="s">
        <v>96</v>
      </c>
      <c r="B52" s="257">
        <v>7</v>
      </c>
      <c r="C52" s="268">
        <v>90</v>
      </c>
      <c r="D52" s="196">
        <v>40.980000000000416</v>
      </c>
      <c r="E52" s="163" t="s">
        <v>112</v>
      </c>
      <c r="F52" s="163" t="s">
        <v>112</v>
      </c>
      <c r="G52" s="164">
        <v>18.320000000000064</v>
      </c>
      <c r="H52" s="165">
        <v>261.56000000002524</v>
      </c>
      <c r="I52" s="166">
        <v>15.529999999999713</v>
      </c>
      <c r="J52" s="167">
        <v>-2.8999999999980925</v>
      </c>
      <c r="K52" s="200">
        <v>40.480000000000516</v>
      </c>
      <c r="L52" s="168" t="s">
        <v>112</v>
      </c>
      <c r="M52" s="169">
        <v>2.9699999999999807</v>
      </c>
      <c r="N52" s="170" t="s">
        <v>112</v>
      </c>
      <c r="O52" s="210"/>
      <c r="Q52" s="144" t="s">
        <v>96</v>
      </c>
      <c r="R52" s="257">
        <v>7</v>
      </c>
      <c r="S52" s="268">
        <v>90</v>
      </c>
      <c r="T52" s="196">
        <v>40.980000000000416</v>
      </c>
      <c r="U52" s="163" t="s">
        <v>112</v>
      </c>
      <c r="V52" s="163" t="s">
        <v>112</v>
      </c>
      <c r="W52" s="164">
        <v>18.320000000000064</v>
      </c>
      <c r="X52" s="165">
        <v>261.56000000002524</v>
      </c>
      <c r="Y52" s="166">
        <v>15.529999999999713</v>
      </c>
      <c r="Z52" s="167">
        <v>-2.8999999999980925</v>
      </c>
      <c r="AA52" s="200">
        <v>40.480000000000516</v>
      </c>
      <c r="AB52" s="168" t="s">
        <v>112</v>
      </c>
      <c r="AC52" s="169">
        <v>2.9699999999999807</v>
      </c>
      <c r="AD52" s="170" t="s">
        <v>112</v>
      </c>
    </row>
    <row r="53" spans="1:30" ht="17" thickBot="1">
      <c r="A53" s="145" t="s">
        <v>95</v>
      </c>
      <c r="B53" s="267"/>
      <c r="C53" s="271"/>
      <c r="D53" s="197">
        <v>42.020000000000209</v>
      </c>
      <c r="E53" s="174" t="s">
        <v>112</v>
      </c>
      <c r="F53" s="174" t="s">
        <v>112</v>
      </c>
      <c r="G53" s="173">
        <v>18.790000000000138</v>
      </c>
      <c r="H53" s="175">
        <v>268.11000000002673</v>
      </c>
      <c r="I53" s="176">
        <v>15.929999999999705</v>
      </c>
      <c r="J53" s="177">
        <v>-2.9699999999980911</v>
      </c>
      <c r="K53" s="202">
        <v>41.520000000000309</v>
      </c>
      <c r="L53" s="179" t="s">
        <v>112</v>
      </c>
      <c r="M53" s="178">
        <v>3.049999999999979</v>
      </c>
      <c r="N53" s="191" t="s">
        <v>112</v>
      </c>
      <c r="O53" s="210"/>
      <c r="Q53" s="145" t="s">
        <v>95</v>
      </c>
      <c r="R53" s="267"/>
      <c r="S53" s="271"/>
      <c r="T53" s="197">
        <v>42.020000000000209</v>
      </c>
      <c r="U53" s="174" t="s">
        <v>112</v>
      </c>
      <c r="V53" s="174" t="s">
        <v>112</v>
      </c>
      <c r="W53" s="173">
        <v>18.790000000000138</v>
      </c>
      <c r="X53" s="175">
        <v>268.11000000002673</v>
      </c>
      <c r="Y53" s="176">
        <v>15.929999999999705</v>
      </c>
      <c r="Z53" s="177">
        <v>-2.9699999999980911</v>
      </c>
      <c r="AA53" s="202">
        <v>41.520000000000309</v>
      </c>
      <c r="AB53" s="179" t="s">
        <v>112</v>
      </c>
      <c r="AC53" s="178">
        <v>3.049999999999979</v>
      </c>
      <c r="AD53" s="191" t="s">
        <v>112</v>
      </c>
    </row>
    <row r="54" spans="1:30">
      <c r="A54" s="151" t="s">
        <v>96</v>
      </c>
      <c r="B54" s="258">
        <v>6</v>
      </c>
      <c r="C54" s="259">
        <v>90</v>
      </c>
      <c r="D54" s="180" t="s">
        <v>112</v>
      </c>
      <c r="E54" s="181">
        <v>40.260000000000559</v>
      </c>
      <c r="F54" s="181">
        <v>2.9099999999999819</v>
      </c>
      <c r="G54" s="182" t="s">
        <v>112</v>
      </c>
      <c r="H54" s="183">
        <v>268.11000000002673</v>
      </c>
      <c r="I54" s="184">
        <v>2.8299999999999836</v>
      </c>
      <c r="J54" s="185">
        <v>-15.21999999999783</v>
      </c>
      <c r="K54" s="186" t="s">
        <v>112</v>
      </c>
      <c r="L54" s="187">
        <v>40.260000000000559</v>
      </c>
      <c r="M54" s="188" t="s">
        <v>112</v>
      </c>
      <c r="N54" s="203">
        <v>5.4699999999999278</v>
      </c>
      <c r="O54" s="209"/>
      <c r="Q54" s="151" t="s">
        <v>96</v>
      </c>
      <c r="R54" s="258">
        <v>6</v>
      </c>
      <c r="S54" s="259">
        <v>90</v>
      </c>
      <c r="T54" s="180" t="s">
        <v>112</v>
      </c>
      <c r="U54" s="181">
        <v>40.260000000000559</v>
      </c>
      <c r="V54" s="181">
        <v>2.9099999999999819</v>
      </c>
      <c r="W54" s="182" t="s">
        <v>112</v>
      </c>
      <c r="X54" s="183">
        <v>268.11000000002673</v>
      </c>
      <c r="Y54" s="184">
        <v>2.8299999999999836</v>
      </c>
      <c r="Z54" s="185">
        <v>-15.21999999999783</v>
      </c>
      <c r="AA54" s="186" t="s">
        <v>112</v>
      </c>
      <c r="AB54" s="187">
        <v>40.260000000000559</v>
      </c>
      <c r="AC54" s="188" t="s">
        <v>112</v>
      </c>
      <c r="AD54" s="203">
        <v>5.4699999999999278</v>
      </c>
    </row>
    <row r="55" spans="1:30">
      <c r="A55" s="144" t="s">
        <v>95</v>
      </c>
      <c r="B55" s="252"/>
      <c r="C55" s="254"/>
      <c r="D55" s="171" t="s">
        <v>112</v>
      </c>
      <c r="E55" s="164">
        <v>39.30000000000075</v>
      </c>
      <c r="F55" s="164">
        <v>2.8399999999999834</v>
      </c>
      <c r="G55" s="163" t="s">
        <v>112</v>
      </c>
      <c r="H55" s="165">
        <v>261.56000000002524</v>
      </c>
      <c r="I55" s="166">
        <v>2.7599999999999851</v>
      </c>
      <c r="J55" s="167">
        <v>-14.859999999997838</v>
      </c>
      <c r="K55" s="172" t="s">
        <v>112</v>
      </c>
      <c r="L55" s="169">
        <v>39.30000000000075</v>
      </c>
      <c r="M55" s="168" t="s">
        <v>112</v>
      </c>
      <c r="N55" s="201">
        <v>5.3399999999999306</v>
      </c>
      <c r="O55" s="209"/>
      <c r="Q55" s="144" t="s">
        <v>95</v>
      </c>
      <c r="R55" s="252"/>
      <c r="S55" s="254"/>
      <c r="T55" s="171" t="s">
        <v>112</v>
      </c>
      <c r="U55" s="164">
        <v>39.30000000000075</v>
      </c>
      <c r="V55" s="164">
        <v>2.8399999999999834</v>
      </c>
      <c r="W55" s="163" t="s">
        <v>112</v>
      </c>
      <c r="X55" s="165">
        <v>261.56000000002524</v>
      </c>
      <c r="Y55" s="166">
        <v>2.7599999999999851</v>
      </c>
      <c r="Z55" s="167">
        <v>-14.859999999997838</v>
      </c>
      <c r="AA55" s="172" t="s">
        <v>112</v>
      </c>
      <c r="AB55" s="169">
        <v>39.30000000000075</v>
      </c>
      <c r="AC55" s="168" t="s">
        <v>112</v>
      </c>
      <c r="AD55" s="201">
        <v>5.3399999999999306</v>
      </c>
    </row>
    <row r="56" spans="1:30">
      <c r="A56" s="144" t="s">
        <v>96</v>
      </c>
      <c r="B56" s="252">
        <v>5</v>
      </c>
      <c r="C56" s="254">
        <v>90</v>
      </c>
      <c r="D56" s="171" t="s">
        <v>112</v>
      </c>
      <c r="E56" s="164">
        <v>39.30000000000075</v>
      </c>
      <c r="F56" s="164">
        <v>2.8399999999999834</v>
      </c>
      <c r="G56" s="163" t="s">
        <v>112</v>
      </c>
      <c r="H56" s="165">
        <v>261.56000000002524</v>
      </c>
      <c r="I56" s="166">
        <v>2.7599999999999851</v>
      </c>
      <c r="J56" s="167">
        <v>-14.859999999997838</v>
      </c>
      <c r="K56" s="172" t="s">
        <v>112</v>
      </c>
      <c r="L56" s="169">
        <v>39.30000000000075</v>
      </c>
      <c r="M56" s="168" t="s">
        <v>112</v>
      </c>
      <c r="N56" s="201">
        <v>5.3399999999999306</v>
      </c>
      <c r="O56" s="209"/>
      <c r="Q56" s="144" t="s">
        <v>96</v>
      </c>
      <c r="R56" s="275">
        <v>5</v>
      </c>
      <c r="S56" s="293">
        <v>90</v>
      </c>
      <c r="T56" s="171" t="s">
        <v>112</v>
      </c>
      <c r="U56" s="164">
        <v>39.30000000000075</v>
      </c>
      <c r="V56" s="164">
        <v>2.8399999999999834</v>
      </c>
      <c r="W56" s="163" t="s">
        <v>112</v>
      </c>
      <c r="X56" s="165">
        <v>261.56000000002524</v>
      </c>
      <c r="Y56" s="166">
        <v>2.7599999999999851</v>
      </c>
      <c r="Z56" s="167">
        <v>-14.859999999997838</v>
      </c>
      <c r="AA56" s="172" t="s">
        <v>112</v>
      </c>
      <c r="AB56" s="169">
        <v>39.30000000000075</v>
      </c>
      <c r="AC56" s="168" t="s">
        <v>112</v>
      </c>
      <c r="AD56" s="201">
        <v>5.3399999999999306</v>
      </c>
    </row>
    <row r="57" spans="1:30">
      <c r="A57" s="144" t="s">
        <v>95</v>
      </c>
      <c r="B57" s="252"/>
      <c r="C57" s="254"/>
      <c r="D57" s="171" t="s">
        <v>112</v>
      </c>
      <c r="E57" s="164">
        <v>38.380000000000933</v>
      </c>
      <c r="F57" s="164">
        <v>2.7699999999999849</v>
      </c>
      <c r="G57" s="163" t="s">
        <v>112</v>
      </c>
      <c r="H57" s="165">
        <v>255.31000000002382</v>
      </c>
      <c r="I57" s="166">
        <v>2.6999999999999864</v>
      </c>
      <c r="J57" s="167">
        <v>-14.509999999997845</v>
      </c>
      <c r="K57" s="171" t="s">
        <v>112</v>
      </c>
      <c r="L57" s="164">
        <v>38.380000000000933</v>
      </c>
      <c r="M57" s="168" t="s">
        <v>112</v>
      </c>
      <c r="N57" s="201">
        <v>5.2199999999999331</v>
      </c>
      <c r="O57" s="209"/>
      <c r="P57" t="s">
        <v>127</v>
      </c>
      <c r="Q57" s="211" t="s">
        <v>95</v>
      </c>
      <c r="R57" s="275"/>
      <c r="S57" s="293"/>
      <c r="T57" s="171" t="s">
        <v>112</v>
      </c>
      <c r="U57" s="164">
        <v>38.380000000000933</v>
      </c>
      <c r="V57" s="164">
        <v>2.7699999999999849</v>
      </c>
      <c r="W57" s="163" t="s">
        <v>112</v>
      </c>
      <c r="X57" s="165">
        <v>255.31000000002382</v>
      </c>
      <c r="Y57" s="166">
        <v>2.6999999999999864</v>
      </c>
      <c r="Z57" s="167">
        <v>-14.509999999997845</v>
      </c>
      <c r="AA57" s="171" t="s">
        <v>112</v>
      </c>
      <c r="AB57" s="164">
        <v>38.380000000000933</v>
      </c>
      <c r="AC57" s="168" t="s">
        <v>112</v>
      </c>
      <c r="AD57" s="201">
        <v>5.2199999999999331</v>
      </c>
    </row>
    <row r="58" spans="1:30">
      <c r="A58" s="144" t="s">
        <v>96</v>
      </c>
      <c r="B58" s="252">
        <v>4</v>
      </c>
      <c r="C58" s="254">
        <v>-25</v>
      </c>
      <c r="D58" s="196">
        <v>7.0499999999998941</v>
      </c>
      <c r="E58" s="163" t="s">
        <v>112</v>
      </c>
      <c r="F58" s="164">
        <v>10.229999999999826</v>
      </c>
      <c r="G58" s="163" t="s">
        <v>112</v>
      </c>
      <c r="H58" s="165">
        <v>7.4099999999999824</v>
      </c>
      <c r="I58" s="166">
        <v>4.3399999999999519</v>
      </c>
      <c r="J58" s="167">
        <v>-6.7499999999980105</v>
      </c>
      <c r="K58" s="196">
        <v>5.1099999999999355</v>
      </c>
      <c r="L58" s="163" t="s">
        <v>112</v>
      </c>
      <c r="M58" s="169">
        <v>6.0099999999999163</v>
      </c>
      <c r="N58" s="170" t="s">
        <v>112</v>
      </c>
      <c r="O58" s="210"/>
      <c r="Q58" s="144" t="s">
        <v>96</v>
      </c>
      <c r="R58" s="252">
        <v>4</v>
      </c>
      <c r="S58" s="254">
        <v>-25</v>
      </c>
      <c r="T58" s="196">
        <v>7.0499999999998941</v>
      </c>
      <c r="U58" s="163" t="s">
        <v>112</v>
      </c>
      <c r="V58" s="164">
        <v>10.229999999999826</v>
      </c>
      <c r="W58" s="163" t="s">
        <v>112</v>
      </c>
      <c r="X58" s="165">
        <v>7.4099999999999824</v>
      </c>
      <c r="Y58" s="166">
        <v>4.3399999999999519</v>
      </c>
      <c r="Z58" s="167">
        <v>-6.7499999999980105</v>
      </c>
      <c r="AA58" s="196">
        <v>5.1099999999999355</v>
      </c>
      <c r="AB58" s="163" t="s">
        <v>112</v>
      </c>
      <c r="AC58" s="169">
        <v>6.0099999999999163</v>
      </c>
      <c r="AD58" s="170" t="s">
        <v>112</v>
      </c>
    </row>
    <row r="59" spans="1:30">
      <c r="A59" s="144" t="s">
        <v>95</v>
      </c>
      <c r="B59" s="252"/>
      <c r="C59" s="254"/>
      <c r="D59" s="196">
        <v>6.8899999999998975</v>
      </c>
      <c r="E59" s="163" t="s">
        <v>112</v>
      </c>
      <c r="F59" s="164">
        <v>9.9999999999998312</v>
      </c>
      <c r="G59" s="163" t="s">
        <v>112</v>
      </c>
      <c r="H59" s="165">
        <v>7.2599999999999829</v>
      </c>
      <c r="I59" s="166">
        <v>4.239999999999954</v>
      </c>
      <c r="J59" s="167">
        <v>-6.5999999999980137</v>
      </c>
      <c r="K59" s="196">
        <v>4.9999999999999378</v>
      </c>
      <c r="L59" s="163" t="s">
        <v>112</v>
      </c>
      <c r="M59" s="169">
        <v>5.8799999999999191</v>
      </c>
      <c r="N59" s="170" t="s">
        <v>112</v>
      </c>
      <c r="O59" s="210"/>
      <c r="Q59" s="144" t="s">
        <v>95</v>
      </c>
      <c r="R59" s="252"/>
      <c r="S59" s="254"/>
      <c r="T59" s="196">
        <v>6.8899999999998975</v>
      </c>
      <c r="U59" s="163" t="s">
        <v>112</v>
      </c>
      <c r="V59" s="164">
        <v>9.9999999999998312</v>
      </c>
      <c r="W59" s="163" t="s">
        <v>112</v>
      </c>
      <c r="X59" s="165">
        <v>7.2599999999999829</v>
      </c>
      <c r="Y59" s="166">
        <v>4.239999999999954</v>
      </c>
      <c r="Z59" s="167">
        <v>-6.5999999999980137</v>
      </c>
      <c r="AA59" s="196">
        <v>4.9999999999999378</v>
      </c>
      <c r="AB59" s="163" t="s">
        <v>112</v>
      </c>
      <c r="AC59" s="169">
        <v>5.8799999999999191</v>
      </c>
      <c r="AD59" s="170" t="s">
        <v>112</v>
      </c>
    </row>
    <row r="60" spans="1:30">
      <c r="A60" s="144" t="s">
        <v>96</v>
      </c>
      <c r="B60" s="252">
        <v>3</v>
      </c>
      <c r="C60" s="254">
        <v>25</v>
      </c>
      <c r="D60" s="196">
        <v>7.0599999999998939</v>
      </c>
      <c r="E60" s="163" t="s">
        <v>112</v>
      </c>
      <c r="F60" s="164">
        <v>9.4799999999998423</v>
      </c>
      <c r="G60" s="163" t="s">
        <v>112</v>
      </c>
      <c r="H60" s="165">
        <v>6.959999999999984</v>
      </c>
      <c r="I60" s="166">
        <v>4.1699999999999555</v>
      </c>
      <c r="J60" s="167">
        <v>-6.6199999999980133</v>
      </c>
      <c r="K60" s="196">
        <v>4.9699999999999385</v>
      </c>
      <c r="L60" s="163" t="s">
        <v>112</v>
      </c>
      <c r="M60" s="169">
        <v>5.6299999999999244</v>
      </c>
      <c r="N60" s="170" t="s">
        <v>112</v>
      </c>
      <c r="O60" s="210"/>
      <c r="Q60" s="144" t="s">
        <v>96</v>
      </c>
      <c r="R60" s="252">
        <v>3</v>
      </c>
      <c r="S60" s="254">
        <v>25</v>
      </c>
      <c r="T60" s="196">
        <v>7.0599999999998939</v>
      </c>
      <c r="U60" s="163" t="s">
        <v>112</v>
      </c>
      <c r="V60" s="164">
        <v>9.4799999999998423</v>
      </c>
      <c r="W60" s="163" t="s">
        <v>112</v>
      </c>
      <c r="X60" s="165">
        <v>6.959999999999984</v>
      </c>
      <c r="Y60" s="166">
        <v>4.1699999999999555</v>
      </c>
      <c r="Z60" s="167">
        <v>-6.6199999999980133</v>
      </c>
      <c r="AA60" s="196">
        <v>4.9699999999999385</v>
      </c>
      <c r="AB60" s="163" t="s">
        <v>112</v>
      </c>
      <c r="AC60" s="169">
        <v>5.6299999999999244</v>
      </c>
      <c r="AD60" s="170" t="s">
        <v>112</v>
      </c>
    </row>
    <row r="61" spans="1:30">
      <c r="A61" s="144" t="s">
        <v>95</v>
      </c>
      <c r="B61" s="252"/>
      <c r="C61" s="254"/>
      <c r="D61" s="196">
        <v>6.8999999999998973</v>
      </c>
      <c r="E61" s="163" t="s">
        <v>112</v>
      </c>
      <c r="F61" s="164">
        <v>9.2699999999998468</v>
      </c>
      <c r="G61" s="163" t="s">
        <v>112</v>
      </c>
      <c r="H61" s="165">
        <v>6.8099999999999845</v>
      </c>
      <c r="I61" s="166">
        <v>4.0799999999999574</v>
      </c>
      <c r="J61" s="167">
        <v>-6.4699999999980164</v>
      </c>
      <c r="K61" s="200">
        <v>4.8599999999999408</v>
      </c>
      <c r="L61" s="168" t="s">
        <v>112</v>
      </c>
      <c r="M61" s="169">
        <v>5.509999999999927</v>
      </c>
      <c r="N61" s="170" t="s">
        <v>112</v>
      </c>
      <c r="O61" s="210"/>
      <c r="Q61" s="144" t="s">
        <v>95</v>
      </c>
      <c r="R61" s="252"/>
      <c r="S61" s="254"/>
      <c r="T61" s="196">
        <v>6.8999999999998973</v>
      </c>
      <c r="U61" s="163" t="s">
        <v>112</v>
      </c>
      <c r="V61" s="164">
        <v>9.2699999999998468</v>
      </c>
      <c r="W61" s="163" t="s">
        <v>112</v>
      </c>
      <c r="X61" s="165">
        <v>6.8099999999999845</v>
      </c>
      <c r="Y61" s="166">
        <v>4.0799999999999574</v>
      </c>
      <c r="Z61" s="167">
        <v>-6.4699999999980164</v>
      </c>
      <c r="AA61" s="200">
        <v>4.8599999999999408</v>
      </c>
      <c r="AB61" s="168" t="s">
        <v>112</v>
      </c>
      <c r="AC61" s="169">
        <v>5.509999999999927</v>
      </c>
      <c r="AD61" s="170" t="s">
        <v>112</v>
      </c>
    </row>
    <row r="62" spans="1:30">
      <c r="A62" s="144" t="s">
        <v>96</v>
      </c>
      <c r="B62" s="252">
        <v>2</v>
      </c>
      <c r="C62" s="254">
        <v>0</v>
      </c>
      <c r="D62" s="196">
        <v>5.4199999999999289</v>
      </c>
      <c r="E62" s="163" t="s">
        <v>112</v>
      </c>
      <c r="F62" s="164">
        <v>21.740000000000599</v>
      </c>
      <c r="G62" s="163" t="s">
        <v>112</v>
      </c>
      <c r="H62" s="165">
        <v>243.71000000002118</v>
      </c>
      <c r="I62" s="166">
        <v>5.0899999999999359</v>
      </c>
      <c r="J62" s="167">
        <v>-6.349999999998019</v>
      </c>
      <c r="K62" s="200">
        <v>5.4199999999999289</v>
      </c>
      <c r="L62" s="168" t="s">
        <v>112</v>
      </c>
      <c r="M62" s="169">
        <v>21.650000000000585</v>
      </c>
      <c r="N62" s="170" t="s">
        <v>112</v>
      </c>
      <c r="O62" s="210"/>
      <c r="Q62" s="144" t="s">
        <v>96</v>
      </c>
      <c r="R62" s="252">
        <v>2</v>
      </c>
      <c r="S62" s="254">
        <v>0</v>
      </c>
      <c r="T62" s="196">
        <v>5.4199999999999289</v>
      </c>
      <c r="U62" s="163" t="s">
        <v>112</v>
      </c>
      <c r="V62" s="164">
        <v>21.740000000000599</v>
      </c>
      <c r="W62" s="163" t="s">
        <v>112</v>
      </c>
      <c r="X62" s="165">
        <v>243.71000000002118</v>
      </c>
      <c r="Y62" s="166">
        <v>5.0899999999999359</v>
      </c>
      <c r="Z62" s="167">
        <v>-6.349999999998019</v>
      </c>
      <c r="AA62" s="200">
        <v>5.4199999999999289</v>
      </c>
      <c r="AB62" s="168" t="s">
        <v>112</v>
      </c>
      <c r="AC62" s="169">
        <v>21.650000000000585</v>
      </c>
      <c r="AD62" s="170" t="s">
        <v>112</v>
      </c>
    </row>
    <row r="63" spans="1:30">
      <c r="A63" s="144" t="s">
        <v>95</v>
      </c>
      <c r="B63" s="252"/>
      <c r="C63" s="254"/>
      <c r="D63" s="196">
        <v>5.2999999999999314</v>
      </c>
      <c r="E63" s="163" t="s">
        <v>112</v>
      </c>
      <c r="F63" s="164">
        <v>21.260000000000524</v>
      </c>
      <c r="G63" s="163" t="s">
        <v>112</v>
      </c>
      <c r="H63" s="165">
        <v>238.31000000001995</v>
      </c>
      <c r="I63" s="166">
        <v>4.9799999999999383</v>
      </c>
      <c r="J63" s="167">
        <v>-6.209999999998022</v>
      </c>
      <c r="K63" s="200">
        <v>5.2999999999999314</v>
      </c>
      <c r="L63" s="168" t="s">
        <v>112</v>
      </c>
      <c r="M63" s="169">
        <v>21.180000000000511</v>
      </c>
      <c r="N63" s="170" t="s">
        <v>112</v>
      </c>
      <c r="O63" s="210"/>
      <c r="Q63" s="144" t="s">
        <v>95</v>
      </c>
      <c r="R63" s="252"/>
      <c r="S63" s="254"/>
      <c r="T63" s="196">
        <v>5.2999999999999314</v>
      </c>
      <c r="U63" s="163" t="s">
        <v>112</v>
      </c>
      <c r="V63" s="164">
        <v>21.260000000000524</v>
      </c>
      <c r="W63" s="163" t="s">
        <v>112</v>
      </c>
      <c r="X63" s="165">
        <v>238.31000000001995</v>
      </c>
      <c r="Y63" s="166">
        <v>4.9799999999999383</v>
      </c>
      <c r="Z63" s="167">
        <v>-6.209999999998022</v>
      </c>
      <c r="AA63" s="200">
        <v>5.2999999999999314</v>
      </c>
      <c r="AB63" s="168" t="s">
        <v>112</v>
      </c>
      <c r="AC63" s="169">
        <v>21.180000000000511</v>
      </c>
      <c r="AD63" s="170" t="s">
        <v>112</v>
      </c>
    </row>
    <row r="64" spans="1:30">
      <c r="A64" s="144" t="s">
        <v>96</v>
      </c>
      <c r="B64" s="252">
        <v>1</v>
      </c>
      <c r="C64" s="254">
        <v>0</v>
      </c>
      <c r="D64" s="196">
        <v>5.2999999999999314</v>
      </c>
      <c r="E64" s="163" t="s">
        <v>112</v>
      </c>
      <c r="F64" s="164">
        <v>21.260000000000524</v>
      </c>
      <c r="G64" s="163" t="s">
        <v>112</v>
      </c>
      <c r="H64" s="165">
        <v>238.31000000001995</v>
      </c>
      <c r="I64" s="166">
        <v>4.9799999999999383</v>
      </c>
      <c r="J64" s="167">
        <v>-6.209999999998022</v>
      </c>
      <c r="K64" s="200">
        <v>5.2999999999999314</v>
      </c>
      <c r="L64" s="168" t="s">
        <v>112</v>
      </c>
      <c r="M64" s="169">
        <v>21.180000000000511</v>
      </c>
      <c r="N64" s="170" t="s">
        <v>112</v>
      </c>
      <c r="O64" s="210"/>
      <c r="Q64" s="144" t="s">
        <v>96</v>
      </c>
      <c r="R64" s="252">
        <v>1</v>
      </c>
      <c r="S64" s="254">
        <v>0</v>
      </c>
      <c r="T64" s="196">
        <v>5.2999999999999314</v>
      </c>
      <c r="U64" s="163" t="s">
        <v>112</v>
      </c>
      <c r="V64" s="164">
        <v>21.260000000000524</v>
      </c>
      <c r="W64" s="163" t="s">
        <v>112</v>
      </c>
      <c r="X64" s="165">
        <v>238.31000000001995</v>
      </c>
      <c r="Y64" s="166">
        <v>4.9799999999999383</v>
      </c>
      <c r="Z64" s="167">
        <v>-6.209999999998022</v>
      </c>
      <c r="AA64" s="200">
        <v>5.2999999999999314</v>
      </c>
      <c r="AB64" s="168" t="s">
        <v>112</v>
      </c>
      <c r="AC64" s="169">
        <v>21.180000000000511</v>
      </c>
      <c r="AD64" s="170" t="s">
        <v>112</v>
      </c>
    </row>
    <row r="65" spans="1:30" ht="17" thickBot="1">
      <c r="A65" s="145" t="s">
        <v>95</v>
      </c>
      <c r="B65" s="253"/>
      <c r="C65" s="255"/>
      <c r="D65" s="198">
        <v>5.1899999999999338</v>
      </c>
      <c r="E65" s="189" t="s">
        <v>112</v>
      </c>
      <c r="F65" s="199">
        <v>20.810000000000453</v>
      </c>
      <c r="G65" s="189" t="s">
        <v>112</v>
      </c>
      <c r="H65" s="190">
        <v>233.11000000001877</v>
      </c>
      <c r="I65" s="176">
        <v>4.8799999999999404</v>
      </c>
      <c r="J65" s="177">
        <v>-6.0799999999980248</v>
      </c>
      <c r="K65" s="202">
        <v>5.1899999999999338</v>
      </c>
      <c r="L65" s="179" t="s">
        <v>112</v>
      </c>
      <c r="M65" s="178">
        <v>20.730000000000441</v>
      </c>
      <c r="N65" s="191" t="s">
        <v>112</v>
      </c>
      <c r="O65" s="210"/>
      <c r="Q65" s="145" t="s">
        <v>95</v>
      </c>
      <c r="R65" s="253"/>
      <c r="S65" s="255"/>
      <c r="T65" s="198">
        <v>5.1899999999999338</v>
      </c>
      <c r="U65" s="189" t="s">
        <v>112</v>
      </c>
      <c r="V65" s="199">
        <v>20.810000000000453</v>
      </c>
      <c r="W65" s="189" t="s">
        <v>112</v>
      </c>
      <c r="X65" s="190">
        <v>233.11000000001877</v>
      </c>
      <c r="Y65" s="176">
        <v>4.8799999999999404</v>
      </c>
      <c r="Z65" s="177">
        <v>-6.0799999999980248</v>
      </c>
      <c r="AA65" s="202">
        <v>5.1899999999999338</v>
      </c>
      <c r="AB65" s="179" t="s">
        <v>112</v>
      </c>
      <c r="AC65" s="178">
        <v>20.730000000000441</v>
      </c>
      <c r="AD65" s="191" t="s">
        <v>112</v>
      </c>
    </row>
    <row r="66" spans="1:30" ht="17" thickBot="1"/>
    <row r="67" spans="1:30" ht="19">
      <c r="A67" s="263" t="s">
        <v>97</v>
      </c>
      <c r="B67" s="264"/>
      <c r="C67" s="147" t="s">
        <v>100</v>
      </c>
      <c r="D67" s="157" t="s">
        <v>120</v>
      </c>
      <c r="E67" s="158" t="s">
        <v>119</v>
      </c>
    </row>
    <row r="68" spans="1:30">
      <c r="A68" s="144" t="s">
        <v>96</v>
      </c>
      <c r="B68" s="257">
        <v>12</v>
      </c>
      <c r="C68" s="268">
        <v>0</v>
      </c>
      <c r="D68" s="166">
        <v>6.3199999999999097</v>
      </c>
      <c r="E68" s="167">
        <v>-5.0899999999980459</v>
      </c>
    </row>
    <row r="69" spans="1:30">
      <c r="A69" s="144" t="s">
        <v>95</v>
      </c>
      <c r="B69" s="258"/>
      <c r="C69" s="259"/>
      <c r="D69" s="166">
        <v>6.4599999999999067</v>
      </c>
      <c r="E69" s="167">
        <v>-5.2099999999980433</v>
      </c>
    </row>
    <row r="70" spans="1:30">
      <c r="A70" s="144" t="s">
        <v>96</v>
      </c>
      <c r="B70" s="257">
        <v>11</v>
      </c>
      <c r="C70" s="268">
        <v>0</v>
      </c>
      <c r="D70" s="166">
        <v>6.4599999999999067</v>
      </c>
      <c r="E70" s="167">
        <v>-5.2099999999980433</v>
      </c>
    </row>
    <row r="71" spans="1:30">
      <c r="A71" s="144" t="s">
        <v>95</v>
      </c>
      <c r="B71" s="258"/>
      <c r="C71" s="259"/>
      <c r="D71" s="166">
        <v>6.6099999999999035</v>
      </c>
      <c r="E71" s="167">
        <v>-5.3299999999980407</v>
      </c>
    </row>
    <row r="72" spans="1:30">
      <c r="A72" s="144" t="s">
        <v>96</v>
      </c>
      <c r="B72" s="257">
        <v>10</v>
      </c>
      <c r="C72" s="268">
        <v>25</v>
      </c>
      <c r="D72" s="166">
        <v>6.7399999999999007</v>
      </c>
      <c r="E72" s="167">
        <v>-4.2699999999980633</v>
      </c>
    </row>
    <row r="73" spans="1:30">
      <c r="A73" s="144" t="s">
        <v>95</v>
      </c>
      <c r="B73" s="258"/>
      <c r="C73" s="259"/>
      <c r="D73" s="166">
        <v>6.8999999999998973</v>
      </c>
      <c r="E73" s="167">
        <v>-4.3699999999980612</v>
      </c>
    </row>
    <row r="74" spans="1:30">
      <c r="A74" s="144" t="s">
        <v>96</v>
      </c>
      <c r="B74" s="257">
        <v>9</v>
      </c>
      <c r="C74" s="268">
        <v>-25</v>
      </c>
      <c r="D74" s="166">
        <v>6.869999999999898</v>
      </c>
      <c r="E74" s="167">
        <v>-4.4399999999980597</v>
      </c>
    </row>
    <row r="75" spans="1:30">
      <c r="A75" s="144" t="s">
        <v>95</v>
      </c>
      <c r="B75" s="258"/>
      <c r="C75" s="259"/>
      <c r="D75" s="166">
        <v>7.0399999999998943</v>
      </c>
      <c r="E75" s="167">
        <v>-4.5499999999980574</v>
      </c>
    </row>
    <row r="76" spans="1:30">
      <c r="A76" s="144" t="s">
        <v>96</v>
      </c>
      <c r="B76" s="257">
        <v>8</v>
      </c>
      <c r="C76" s="268">
        <v>90</v>
      </c>
      <c r="D76" s="166">
        <v>15.159999999999721</v>
      </c>
      <c r="E76" s="167">
        <v>-2.829999999998094</v>
      </c>
    </row>
    <row r="77" spans="1:30">
      <c r="A77" s="144" t="s">
        <v>95</v>
      </c>
      <c r="B77" s="258"/>
      <c r="C77" s="259"/>
      <c r="D77" s="166">
        <v>15.529999999999713</v>
      </c>
      <c r="E77" s="167">
        <v>-2.8999999999980925</v>
      </c>
    </row>
    <row r="78" spans="1:30">
      <c r="A78" s="144" t="s">
        <v>96</v>
      </c>
      <c r="B78" s="257">
        <v>7</v>
      </c>
      <c r="C78" s="268">
        <v>90</v>
      </c>
      <c r="D78" s="166">
        <v>15.529999999999713</v>
      </c>
      <c r="E78" s="167">
        <v>-2.8999999999980925</v>
      </c>
    </row>
    <row r="79" spans="1:30" ht="17" thickBot="1">
      <c r="A79" s="145" t="s">
        <v>95</v>
      </c>
      <c r="B79" s="267"/>
      <c r="C79" s="271"/>
      <c r="D79" s="176">
        <v>15.929999999999705</v>
      </c>
      <c r="E79" s="177">
        <v>-2.9699999999980911</v>
      </c>
    </row>
    <row r="80" spans="1:30">
      <c r="A80" s="151" t="s">
        <v>96</v>
      </c>
      <c r="B80" s="258">
        <v>6</v>
      </c>
      <c r="C80" s="259">
        <v>90</v>
      </c>
      <c r="D80" s="184">
        <v>2.8299999999999836</v>
      </c>
      <c r="E80" s="185">
        <v>-15.21999999999783</v>
      </c>
    </row>
    <row r="81" spans="1:7">
      <c r="A81" s="144" t="s">
        <v>95</v>
      </c>
      <c r="B81" s="252"/>
      <c r="C81" s="254"/>
      <c r="D81" s="166">
        <v>2.7599999999999851</v>
      </c>
      <c r="E81" s="167">
        <v>-14.859999999997838</v>
      </c>
    </row>
    <row r="82" spans="1:7">
      <c r="A82" s="144" t="s">
        <v>96</v>
      </c>
      <c r="B82" s="252">
        <v>5</v>
      </c>
      <c r="C82" s="254">
        <v>90</v>
      </c>
      <c r="D82" s="166">
        <v>2.7599999999999851</v>
      </c>
      <c r="E82" s="167">
        <v>-14.859999999997838</v>
      </c>
    </row>
    <row r="83" spans="1:7">
      <c r="A83" s="144" t="s">
        <v>95</v>
      </c>
      <c r="B83" s="252"/>
      <c r="C83" s="254"/>
      <c r="D83" s="166">
        <v>2.6999999999999864</v>
      </c>
      <c r="E83" s="167">
        <v>-14.509999999997845</v>
      </c>
    </row>
    <row r="84" spans="1:7">
      <c r="A84" s="144" t="s">
        <v>96</v>
      </c>
      <c r="B84" s="252">
        <v>4</v>
      </c>
      <c r="C84" s="254">
        <v>-25</v>
      </c>
      <c r="D84" s="166">
        <v>4.3399999999999519</v>
      </c>
      <c r="E84" s="167">
        <v>-6.7499999999980105</v>
      </c>
    </row>
    <row r="85" spans="1:7">
      <c r="A85" s="144" t="s">
        <v>95</v>
      </c>
      <c r="B85" s="252"/>
      <c r="C85" s="254"/>
      <c r="D85" s="166">
        <v>4.239999999999954</v>
      </c>
      <c r="E85" s="167">
        <v>-6.5999999999980137</v>
      </c>
    </row>
    <row r="86" spans="1:7">
      <c r="A86" s="144" t="s">
        <v>96</v>
      </c>
      <c r="B86" s="252">
        <v>3</v>
      </c>
      <c r="C86" s="254">
        <v>25</v>
      </c>
      <c r="D86" s="166">
        <v>4.1699999999999555</v>
      </c>
      <c r="E86" s="167">
        <v>-6.6199999999980133</v>
      </c>
    </row>
    <row r="87" spans="1:7">
      <c r="A87" s="144" t="s">
        <v>95</v>
      </c>
      <c r="B87" s="252"/>
      <c r="C87" s="254"/>
      <c r="D87" s="166">
        <v>4.0799999999999574</v>
      </c>
      <c r="E87" s="167">
        <v>-6.4699999999980164</v>
      </c>
    </row>
    <row r="88" spans="1:7">
      <c r="A88" s="144" t="s">
        <v>96</v>
      </c>
      <c r="B88" s="252">
        <v>2</v>
      </c>
      <c r="C88" s="254">
        <v>0</v>
      </c>
      <c r="D88" s="166">
        <v>5.0899999999999359</v>
      </c>
      <c r="E88" s="167">
        <v>-6.349999999998019</v>
      </c>
    </row>
    <row r="89" spans="1:7">
      <c r="A89" s="144" t="s">
        <v>95</v>
      </c>
      <c r="B89" s="252"/>
      <c r="C89" s="254"/>
      <c r="D89" s="166">
        <v>4.9799999999999383</v>
      </c>
      <c r="E89" s="167">
        <v>-6.209999999998022</v>
      </c>
    </row>
    <row r="90" spans="1:7">
      <c r="A90" s="144" t="s">
        <v>96</v>
      </c>
      <c r="B90" s="252">
        <v>1</v>
      </c>
      <c r="C90" s="254">
        <v>0</v>
      </c>
      <c r="D90" s="166">
        <v>4.9799999999999383</v>
      </c>
      <c r="E90" s="167">
        <v>-6.209999999998022</v>
      </c>
    </row>
    <row r="91" spans="1:7" ht="17" thickBot="1">
      <c r="A91" s="145" t="s">
        <v>95</v>
      </c>
      <c r="B91" s="253"/>
      <c r="C91" s="255"/>
      <c r="D91" s="176">
        <v>4.8799999999999404</v>
      </c>
      <c r="E91" s="177">
        <v>-6.0799999999980248</v>
      </c>
    </row>
    <row r="92" spans="1:7" ht="17" thickBot="1"/>
    <row r="93" spans="1:7" ht="19">
      <c r="A93" s="263" t="s">
        <v>97</v>
      </c>
      <c r="B93" s="264"/>
      <c r="C93" s="147" t="s">
        <v>100</v>
      </c>
      <c r="D93" s="157" t="s">
        <v>122</v>
      </c>
      <c r="E93" s="159" t="s">
        <v>123</v>
      </c>
      <c r="F93" s="159" t="s">
        <v>124</v>
      </c>
      <c r="G93" s="160" t="s">
        <v>125</v>
      </c>
    </row>
    <row r="94" spans="1:7">
      <c r="A94" s="144" t="s">
        <v>96</v>
      </c>
      <c r="B94" s="257">
        <v>12</v>
      </c>
      <c r="C94" s="268">
        <v>0</v>
      </c>
      <c r="D94" s="172" t="s">
        <v>112</v>
      </c>
      <c r="E94" s="169">
        <v>5.3999999999999293</v>
      </c>
      <c r="F94" s="168" t="s">
        <v>112</v>
      </c>
      <c r="G94" s="201">
        <v>124.45000000002676</v>
      </c>
    </row>
    <row r="95" spans="1:7">
      <c r="A95" s="144" t="s">
        <v>95</v>
      </c>
      <c r="B95" s="258"/>
      <c r="C95" s="259"/>
      <c r="D95" s="172" t="s">
        <v>112</v>
      </c>
      <c r="E95" s="169">
        <v>5.5199999999999267</v>
      </c>
      <c r="F95" s="168" t="s">
        <v>112</v>
      </c>
      <c r="G95" s="201">
        <v>127.2700000000282</v>
      </c>
    </row>
    <row r="96" spans="1:7">
      <c r="A96" s="144" t="s">
        <v>96</v>
      </c>
      <c r="B96" s="257">
        <v>11</v>
      </c>
      <c r="C96" s="268">
        <v>0</v>
      </c>
      <c r="D96" s="172" t="s">
        <v>112</v>
      </c>
      <c r="E96" s="169">
        <v>5.5199999999999267</v>
      </c>
      <c r="F96" s="168" t="s">
        <v>112</v>
      </c>
      <c r="G96" s="201">
        <v>127.2700000000282</v>
      </c>
    </row>
    <row r="97" spans="1:7">
      <c r="A97" s="144" t="s">
        <v>95</v>
      </c>
      <c r="B97" s="258"/>
      <c r="C97" s="259"/>
      <c r="D97" s="172" t="s">
        <v>112</v>
      </c>
      <c r="E97" s="169">
        <v>5.649999999999924</v>
      </c>
      <c r="F97" s="168" t="s">
        <v>112</v>
      </c>
      <c r="G97" s="201">
        <v>130.23000000002654</v>
      </c>
    </row>
    <row r="98" spans="1:7">
      <c r="A98" s="144" t="s">
        <v>96</v>
      </c>
      <c r="B98" s="257">
        <v>10</v>
      </c>
      <c r="C98" s="268">
        <v>25</v>
      </c>
      <c r="D98" s="172" t="s">
        <v>112</v>
      </c>
      <c r="E98" s="169">
        <v>7.1999999999998909</v>
      </c>
      <c r="F98" s="168" t="s">
        <v>112</v>
      </c>
      <c r="G98" s="201">
        <v>7.9599999999998747</v>
      </c>
    </row>
    <row r="99" spans="1:7">
      <c r="A99" s="144" t="s">
        <v>95</v>
      </c>
      <c r="B99" s="258"/>
      <c r="C99" s="259"/>
      <c r="D99" s="172" t="s">
        <v>112</v>
      </c>
      <c r="E99" s="169">
        <v>7.3799999999998871</v>
      </c>
      <c r="F99" s="168" t="s">
        <v>112</v>
      </c>
      <c r="G99" s="201">
        <v>8.1499999999998707</v>
      </c>
    </row>
    <row r="100" spans="1:7">
      <c r="A100" s="144" t="s">
        <v>96</v>
      </c>
      <c r="B100" s="257">
        <v>9</v>
      </c>
      <c r="C100" s="268">
        <v>-25</v>
      </c>
      <c r="D100" s="172" t="s">
        <v>112</v>
      </c>
      <c r="E100" s="169">
        <v>7.1899999999998911</v>
      </c>
      <c r="F100" s="168" t="s">
        <v>112</v>
      </c>
      <c r="G100" s="201">
        <v>8.4599999999998641</v>
      </c>
    </row>
    <row r="101" spans="1:7">
      <c r="A101" s="144" t="s">
        <v>95</v>
      </c>
      <c r="B101" s="258"/>
      <c r="C101" s="259"/>
      <c r="D101" s="172" t="s">
        <v>112</v>
      </c>
      <c r="E101" s="169">
        <v>7.3699999999998873</v>
      </c>
      <c r="F101" s="168" t="s">
        <v>112</v>
      </c>
      <c r="G101" s="201">
        <v>8.6599999999998598</v>
      </c>
    </row>
    <row r="102" spans="1:7">
      <c r="A102" s="144" t="s">
        <v>96</v>
      </c>
      <c r="B102" s="257">
        <v>8</v>
      </c>
      <c r="C102" s="268">
        <v>90</v>
      </c>
      <c r="D102" s="200">
        <v>39.500000000000711</v>
      </c>
      <c r="E102" s="168" t="s">
        <v>112</v>
      </c>
      <c r="F102" s="169">
        <v>2.8999999999999821</v>
      </c>
      <c r="G102" s="170" t="s">
        <v>112</v>
      </c>
    </row>
    <row r="103" spans="1:7">
      <c r="A103" s="144" t="s">
        <v>95</v>
      </c>
      <c r="B103" s="258"/>
      <c r="C103" s="259"/>
      <c r="D103" s="200">
        <v>40.480000000000516</v>
      </c>
      <c r="E103" s="168" t="s">
        <v>112</v>
      </c>
      <c r="F103" s="169">
        <v>2.9699999999999807</v>
      </c>
      <c r="G103" s="170" t="s">
        <v>112</v>
      </c>
    </row>
    <row r="104" spans="1:7">
      <c r="A104" s="144" t="s">
        <v>96</v>
      </c>
      <c r="B104" s="257">
        <v>7</v>
      </c>
      <c r="C104" s="268">
        <v>90</v>
      </c>
      <c r="D104" s="200">
        <v>40.480000000000516</v>
      </c>
      <c r="E104" s="168" t="s">
        <v>112</v>
      </c>
      <c r="F104" s="169">
        <v>2.9699999999999807</v>
      </c>
      <c r="G104" s="170" t="s">
        <v>112</v>
      </c>
    </row>
    <row r="105" spans="1:7" ht="17" thickBot="1">
      <c r="A105" s="145" t="s">
        <v>95</v>
      </c>
      <c r="B105" s="267"/>
      <c r="C105" s="271"/>
      <c r="D105" s="202">
        <v>41.520000000000309</v>
      </c>
      <c r="E105" s="179" t="s">
        <v>112</v>
      </c>
      <c r="F105" s="178">
        <v>3.049999999999979</v>
      </c>
      <c r="G105" s="191" t="s">
        <v>112</v>
      </c>
    </row>
    <row r="106" spans="1:7">
      <c r="A106" s="151" t="s">
        <v>96</v>
      </c>
      <c r="B106" s="258">
        <v>6</v>
      </c>
      <c r="C106" s="259">
        <v>90</v>
      </c>
      <c r="D106" s="186" t="s">
        <v>112</v>
      </c>
      <c r="E106" s="187">
        <v>40.260000000000559</v>
      </c>
      <c r="F106" s="188" t="s">
        <v>112</v>
      </c>
      <c r="G106" s="203">
        <v>5.4699999999999278</v>
      </c>
    </row>
    <row r="107" spans="1:7">
      <c r="A107" s="144" t="s">
        <v>95</v>
      </c>
      <c r="B107" s="252"/>
      <c r="C107" s="254"/>
      <c r="D107" s="172" t="s">
        <v>112</v>
      </c>
      <c r="E107" s="169">
        <v>39.30000000000075</v>
      </c>
      <c r="F107" s="168" t="s">
        <v>112</v>
      </c>
      <c r="G107" s="201">
        <v>5.3399999999999306</v>
      </c>
    </row>
    <row r="108" spans="1:7">
      <c r="A108" s="144" t="s">
        <v>96</v>
      </c>
      <c r="B108" s="252">
        <v>5</v>
      </c>
      <c r="C108" s="254">
        <v>90</v>
      </c>
      <c r="D108" s="172" t="s">
        <v>112</v>
      </c>
      <c r="E108" s="169">
        <v>39.30000000000075</v>
      </c>
      <c r="F108" s="168" t="s">
        <v>112</v>
      </c>
      <c r="G108" s="201">
        <v>5.3399999999999306</v>
      </c>
    </row>
    <row r="109" spans="1:7">
      <c r="A109" s="144" t="s">
        <v>95</v>
      </c>
      <c r="B109" s="252"/>
      <c r="C109" s="254"/>
      <c r="D109" s="171" t="s">
        <v>112</v>
      </c>
      <c r="E109" s="164">
        <v>38.380000000000933</v>
      </c>
      <c r="F109" s="168" t="s">
        <v>112</v>
      </c>
      <c r="G109" s="201">
        <v>5.2199999999999331</v>
      </c>
    </row>
    <row r="110" spans="1:7">
      <c r="A110" s="144" t="s">
        <v>96</v>
      </c>
      <c r="B110" s="252">
        <v>4</v>
      </c>
      <c r="C110" s="254">
        <v>-25</v>
      </c>
      <c r="D110" s="196">
        <v>5.1099999999999355</v>
      </c>
      <c r="E110" s="163" t="s">
        <v>112</v>
      </c>
      <c r="F110" s="169">
        <v>6.0099999999999163</v>
      </c>
      <c r="G110" s="170" t="s">
        <v>112</v>
      </c>
    </row>
    <row r="111" spans="1:7">
      <c r="A111" s="144" t="s">
        <v>95</v>
      </c>
      <c r="B111" s="252"/>
      <c r="C111" s="254"/>
      <c r="D111" s="196">
        <v>4.9999999999999378</v>
      </c>
      <c r="E111" s="163" t="s">
        <v>112</v>
      </c>
      <c r="F111" s="169">
        <v>5.8799999999999191</v>
      </c>
      <c r="G111" s="170" t="s">
        <v>112</v>
      </c>
    </row>
    <row r="112" spans="1:7">
      <c r="A112" s="144" t="s">
        <v>96</v>
      </c>
      <c r="B112" s="252">
        <v>3</v>
      </c>
      <c r="C112" s="254">
        <v>25</v>
      </c>
      <c r="D112" s="196">
        <v>4.9699999999999385</v>
      </c>
      <c r="E112" s="163" t="s">
        <v>112</v>
      </c>
      <c r="F112" s="169">
        <v>5.6299999999999244</v>
      </c>
      <c r="G112" s="170" t="s">
        <v>112</v>
      </c>
    </row>
    <row r="113" spans="1:7">
      <c r="A113" s="144" t="s">
        <v>95</v>
      </c>
      <c r="B113" s="252"/>
      <c r="C113" s="254"/>
      <c r="D113" s="200">
        <v>4.8599999999999408</v>
      </c>
      <c r="E113" s="168" t="s">
        <v>112</v>
      </c>
      <c r="F113" s="169">
        <v>5.509999999999927</v>
      </c>
      <c r="G113" s="170" t="s">
        <v>112</v>
      </c>
    </row>
    <row r="114" spans="1:7">
      <c r="A114" s="144" t="s">
        <v>96</v>
      </c>
      <c r="B114" s="252">
        <v>2</v>
      </c>
      <c r="C114" s="254">
        <v>0</v>
      </c>
      <c r="D114" s="200">
        <v>5.4199999999999289</v>
      </c>
      <c r="E114" s="168" t="s">
        <v>112</v>
      </c>
      <c r="F114" s="169">
        <v>21.650000000000585</v>
      </c>
      <c r="G114" s="170" t="s">
        <v>112</v>
      </c>
    </row>
    <row r="115" spans="1:7">
      <c r="A115" s="144" t="s">
        <v>95</v>
      </c>
      <c r="B115" s="252"/>
      <c r="C115" s="254"/>
      <c r="D115" s="200">
        <v>5.2999999999999314</v>
      </c>
      <c r="E115" s="168" t="s">
        <v>112</v>
      </c>
      <c r="F115" s="169">
        <v>21.180000000000511</v>
      </c>
      <c r="G115" s="170" t="s">
        <v>112</v>
      </c>
    </row>
    <row r="116" spans="1:7">
      <c r="A116" s="144" t="s">
        <v>96</v>
      </c>
      <c r="B116" s="252">
        <v>1</v>
      </c>
      <c r="C116" s="254">
        <v>0</v>
      </c>
      <c r="D116" s="200">
        <v>5.2999999999999314</v>
      </c>
      <c r="E116" s="168" t="s">
        <v>112</v>
      </c>
      <c r="F116" s="169">
        <v>21.180000000000511</v>
      </c>
      <c r="G116" s="170" t="s">
        <v>112</v>
      </c>
    </row>
    <row r="117" spans="1:7" ht="17" thickBot="1">
      <c r="A117" s="145" t="s">
        <v>95</v>
      </c>
      <c r="B117" s="253"/>
      <c r="C117" s="255"/>
      <c r="D117" s="202">
        <v>5.1899999999999338</v>
      </c>
      <c r="E117" s="179" t="s">
        <v>112</v>
      </c>
      <c r="F117" s="178">
        <v>20.730000000000441</v>
      </c>
      <c r="G117" s="191" t="s">
        <v>112</v>
      </c>
    </row>
  </sheetData>
  <mergeCells count="150">
    <mergeCell ref="P50:P51"/>
    <mergeCell ref="R60:R61"/>
    <mergeCell ref="S60:S61"/>
    <mergeCell ref="R62:R63"/>
    <mergeCell ref="S62:S63"/>
    <mergeCell ref="R64:R65"/>
    <mergeCell ref="S64:S65"/>
    <mergeCell ref="S54:S55"/>
    <mergeCell ref="R56:R57"/>
    <mergeCell ref="S56:S57"/>
    <mergeCell ref="R58:R59"/>
    <mergeCell ref="S58:S59"/>
    <mergeCell ref="B116:B117"/>
    <mergeCell ref="C116:C117"/>
    <mergeCell ref="Q41:R41"/>
    <mergeCell ref="R42:R43"/>
    <mergeCell ref="S42:S43"/>
    <mergeCell ref="R44:R45"/>
    <mergeCell ref="S44:S45"/>
    <mergeCell ref="R46:R47"/>
    <mergeCell ref="S46:S47"/>
    <mergeCell ref="R48:R49"/>
    <mergeCell ref="S48:S49"/>
    <mergeCell ref="R50:R51"/>
    <mergeCell ref="S50:S51"/>
    <mergeCell ref="R52:R53"/>
    <mergeCell ref="S52:S53"/>
    <mergeCell ref="R54:R55"/>
    <mergeCell ref="B110:B111"/>
    <mergeCell ref="C110:C111"/>
    <mergeCell ref="B112:B113"/>
    <mergeCell ref="C112:C113"/>
    <mergeCell ref="B114:B115"/>
    <mergeCell ref="C114:C115"/>
    <mergeCell ref="B104:B105"/>
    <mergeCell ref="C104:C105"/>
    <mergeCell ref="B106:B107"/>
    <mergeCell ref="C106:C107"/>
    <mergeCell ref="B108:B109"/>
    <mergeCell ref="C108:C109"/>
    <mergeCell ref="B98:B99"/>
    <mergeCell ref="C98:C99"/>
    <mergeCell ref="B100:B101"/>
    <mergeCell ref="C100:C101"/>
    <mergeCell ref="B102:B103"/>
    <mergeCell ref="C102:C103"/>
    <mergeCell ref="A93:B93"/>
    <mergeCell ref="B94:B95"/>
    <mergeCell ref="C94:C95"/>
    <mergeCell ref="B96:B97"/>
    <mergeCell ref="C96:C97"/>
    <mergeCell ref="B86:B87"/>
    <mergeCell ref="C86:C87"/>
    <mergeCell ref="B88:B89"/>
    <mergeCell ref="C88:C89"/>
    <mergeCell ref="B90:B91"/>
    <mergeCell ref="C90:C91"/>
    <mergeCell ref="B80:B81"/>
    <mergeCell ref="C80:C81"/>
    <mergeCell ref="B82:B83"/>
    <mergeCell ref="C82:C83"/>
    <mergeCell ref="B84:B85"/>
    <mergeCell ref="C84:C85"/>
    <mergeCell ref="B74:B75"/>
    <mergeCell ref="C74:C75"/>
    <mergeCell ref="B76:B77"/>
    <mergeCell ref="C76:C77"/>
    <mergeCell ref="B78:B79"/>
    <mergeCell ref="C78:C79"/>
    <mergeCell ref="B68:B69"/>
    <mergeCell ref="C68:C69"/>
    <mergeCell ref="B70:B71"/>
    <mergeCell ref="C70:C71"/>
    <mergeCell ref="B72:B73"/>
    <mergeCell ref="C72:C73"/>
    <mergeCell ref="B62:B63"/>
    <mergeCell ref="C62:C63"/>
    <mergeCell ref="B64:B65"/>
    <mergeCell ref="C64:C65"/>
    <mergeCell ref="A67:B67"/>
    <mergeCell ref="B56:B57"/>
    <mergeCell ref="C56:C57"/>
    <mergeCell ref="B58:B59"/>
    <mergeCell ref="C58:C59"/>
    <mergeCell ref="B60:B61"/>
    <mergeCell ref="C60:C61"/>
    <mergeCell ref="B50:B51"/>
    <mergeCell ref="C50:C51"/>
    <mergeCell ref="B52:B53"/>
    <mergeCell ref="C52:C53"/>
    <mergeCell ref="B54:B55"/>
    <mergeCell ref="C54:C55"/>
    <mergeCell ref="B44:B45"/>
    <mergeCell ref="C44:C45"/>
    <mergeCell ref="B46:B47"/>
    <mergeCell ref="C46:C47"/>
    <mergeCell ref="B48:B49"/>
    <mergeCell ref="C48:C49"/>
    <mergeCell ref="B38:B39"/>
    <mergeCell ref="C38:C39"/>
    <mergeCell ref="A41:B41"/>
    <mergeCell ref="B42:B43"/>
    <mergeCell ref="C42:C43"/>
    <mergeCell ref="B32:B33"/>
    <mergeCell ref="C32:C33"/>
    <mergeCell ref="B34:B35"/>
    <mergeCell ref="C34:C35"/>
    <mergeCell ref="B36:B37"/>
    <mergeCell ref="C36:C37"/>
    <mergeCell ref="B26:B27"/>
    <mergeCell ref="C26:C27"/>
    <mergeCell ref="B28:B29"/>
    <mergeCell ref="C28:C29"/>
    <mergeCell ref="B30:B31"/>
    <mergeCell ref="C30:C31"/>
    <mergeCell ref="B20:B21"/>
    <mergeCell ref="C20:C21"/>
    <mergeCell ref="B22:B23"/>
    <mergeCell ref="C22:C23"/>
    <mergeCell ref="B24:B25"/>
    <mergeCell ref="C24:C25"/>
    <mergeCell ref="A11:A12"/>
    <mergeCell ref="L12:M12"/>
    <mergeCell ref="J12:K12"/>
    <mergeCell ref="H12:I12"/>
    <mergeCell ref="F12:G12"/>
    <mergeCell ref="D12:E12"/>
    <mergeCell ref="B12:C12"/>
    <mergeCell ref="A14:B14"/>
    <mergeCell ref="A15:B15"/>
    <mergeCell ref="B16:B17"/>
    <mergeCell ref="B18:B19"/>
    <mergeCell ref="C16:C17"/>
    <mergeCell ref="C18:C19"/>
    <mergeCell ref="C1:D1"/>
    <mergeCell ref="E1:F1"/>
    <mergeCell ref="G1:H1"/>
    <mergeCell ref="I1:J1"/>
    <mergeCell ref="K1:L1"/>
    <mergeCell ref="Y12:Z12"/>
    <mergeCell ref="P1:Q1"/>
    <mergeCell ref="R1:S1"/>
    <mergeCell ref="T1:U1"/>
    <mergeCell ref="V1:W1"/>
    <mergeCell ref="X1:Y1"/>
    <mergeCell ref="N12:P12"/>
    <mergeCell ref="Q12:R12"/>
    <mergeCell ref="S12:T12"/>
    <mergeCell ref="U12:V12"/>
    <mergeCell ref="W12:X12"/>
  </mergeCells>
  <pageMargins left="0.7" right="0.7" top="0.75" bottom="0.75" header="0.3" footer="0.3"/>
  <pageSetup orientation="landscape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le3"/>
  <dimension ref="A1:S62"/>
  <sheetViews>
    <sheetView showGridLines="0" topLeftCell="A29" zoomScale="75" workbookViewId="0">
      <selection activeCell="M61" sqref="M61"/>
    </sheetView>
  </sheetViews>
  <sheetFormatPr baseColWidth="10" defaultRowHeight="16"/>
  <cols>
    <col min="1" max="1" width="14" style="3" bestFit="1" customWidth="1"/>
    <col min="2" max="2" width="11.6640625" style="3" bestFit="1" customWidth="1"/>
    <col min="3" max="3" width="11.83203125" style="3" bestFit="1" customWidth="1"/>
    <col min="4" max="4" width="10.83203125" style="3"/>
    <col min="5" max="5" width="10.83203125" style="3" customWidth="1"/>
    <col min="6" max="6" width="11" style="3" bestFit="1" customWidth="1"/>
    <col min="7" max="11" width="10.83203125" style="3"/>
    <col min="12" max="12" width="12.6640625" style="3" bestFit="1" customWidth="1"/>
    <col min="13" max="16" width="10.83203125" style="3"/>
    <col min="17" max="19" width="12.6640625" style="3" bestFit="1" customWidth="1"/>
    <col min="20" max="16384" width="10.83203125" style="3"/>
  </cols>
  <sheetData>
    <row r="1" spans="1:17">
      <c r="A1" s="40" t="s">
        <v>54</v>
      </c>
      <c r="B1" s="66">
        <v>57.04426056156295</v>
      </c>
      <c r="C1" s="40" t="s">
        <v>19</v>
      </c>
      <c r="E1" s="88" t="s">
        <v>69</v>
      </c>
      <c r="F1" s="88">
        <v>5.0000000000000001E-3</v>
      </c>
      <c r="G1" s="88"/>
      <c r="H1" s="88"/>
      <c r="I1" s="88"/>
      <c r="J1" s="88"/>
      <c r="K1" s="88"/>
    </row>
    <row r="2" spans="1:17">
      <c r="A2" s="63" t="s">
        <v>55</v>
      </c>
      <c r="B2" s="66">
        <v>62.877413012714563</v>
      </c>
      <c r="C2" s="40" t="s">
        <v>19</v>
      </c>
      <c r="E2" s="33" t="s">
        <v>70</v>
      </c>
      <c r="F2" s="88">
        <v>1.5E-3</v>
      </c>
      <c r="G2" s="28" t="s">
        <v>33</v>
      </c>
      <c r="H2" s="88"/>
      <c r="I2" s="33" t="s">
        <v>67</v>
      </c>
      <c r="J2" s="88">
        <f>F2+2*F1</f>
        <v>1.15E-2</v>
      </c>
      <c r="K2" s="28" t="s">
        <v>33</v>
      </c>
    </row>
    <row r="3" spans="1:17">
      <c r="A3" s="63" t="s">
        <v>56</v>
      </c>
      <c r="B3" s="66">
        <v>14.779738795087013</v>
      </c>
      <c r="C3" s="40" t="s">
        <v>19</v>
      </c>
      <c r="E3" s="89" t="s">
        <v>59</v>
      </c>
      <c r="F3" s="90">
        <f>(J2^3/12)*(1-(J3)^3)</f>
        <v>4.3406249999999979E-8</v>
      </c>
      <c r="G3" s="91" t="s">
        <v>33</v>
      </c>
      <c r="H3" s="20"/>
      <c r="I3" s="88" t="s">
        <v>71</v>
      </c>
      <c r="J3" s="88">
        <f>F1/(J2/2)</f>
        <v>0.86956521739130443</v>
      </c>
      <c r="K3" s="88"/>
    </row>
    <row r="4" spans="1:17">
      <c r="A4" s="63" t="s">
        <v>57</v>
      </c>
      <c r="B4" s="66">
        <v>17.284782971388925</v>
      </c>
      <c r="C4" s="40" t="s">
        <v>19</v>
      </c>
    </row>
    <row r="5" spans="1:17">
      <c r="A5" s="63" t="s">
        <v>58</v>
      </c>
      <c r="B5" s="66">
        <v>19.879738795087015</v>
      </c>
      <c r="C5" s="40" t="s">
        <v>19</v>
      </c>
    </row>
    <row r="7" spans="1:17">
      <c r="A7" s="71" t="s">
        <v>49</v>
      </c>
      <c r="B7" s="72">
        <v>0.88092920322884638</v>
      </c>
      <c r="D7" s="60" t="s">
        <v>88</v>
      </c>
    </row>
    <row r="8" spans="1:17">
      <c r="A8" s="71" t="s">
        <v>50</v>
      </c>
      <c r="B8" s="72">
        <v>0.60878394077768982</v>
      </c>
    </row>
    <row r="9" spans="1:17">
      <c r="A9" s="71" t="s">
        <v>51</v>
      </c>
      <c r="B9" s="96">
        <f>3*SIN(25*PI()/180*2)/16</f>
        <v>0.14363333308480838</v>
      </c>
    </row>
    <row r="10" spans="1:17">
      <c r="A10" s="71" t="s">
        <v>52</v>
      </c>
      <c r="B10" s="72">
        <v>0</v>
      </c>
    </row>
    <row r="12" spans="1:17">
      <c r="A12" s="70" t="s">
        <v>60</v>
      </c>
      <c r="B12" s="53"/>
      <c r="E12" s="70" t="s">
        <v>68</v>
      </c>
      <c r="K12" s="112"/>
      <c r="L12" s="111"/>
      <c r="M12" s="110"/>
      <c r="O12" s="112"/>
      <c r="P12" s="95"/>
      <c r="Q12" s="110"/>
    </row>
    <row r="13" spans="1:17">
      <c r="A13" s="93">
        <f>F3*(B1+B7*B2+B8*B3)*1000000</f>
        <v>5.2709284780158603</v>
      </c>
      <c r="B13" s="93">
        <f>1000000*F3*(B4-B8*B3)</f>
        <v>0.3597126004027113</v>
      </c>
      <c r="C13" s="93">
        <f>F3*(0.5*B9*B2+B10*B3)*1000000</f>
        <v>0.19600726801559967</v>
      </c>
      <c r="E13" s="92">
        <f t="array" ref="E13:G15">MINVERSE(A13:C15)</f>
        <v>0.20035822027584071</v>
      </c>
      <c r="F13" s="92">
        <v>-0.15588513995263692</v>
      </c>
      <c r="G13" s="92">
        <v>-1.8454639123240513E-2</v>
      </c>
      <c r="K13" s="112"/>
      <c r="L13" s="111"/>
      <c r="M13" s="110"/>
      <c r="O13" s="112"/>
      <c r="P13" s="111"/>
      <c r="Q13" s="110"/>
    </row>
    <row r="14" spans="1:17">
      <c r="A14" s="93">
        <f>B13</f>
        <v>0.3597126004027113</v>
      </c>
      <c r="B14" s="93">
        <f>F3*(B1-B7*B2+B3*B8)*1000000</f>
        <v>0.46233641288309829</v>
      </c>
      <c r="C14" s="93">
        <f>F3*(0.5*B9*B2-B10*B3)*1000000</f>
        <v>0.19600726801559967</v>
      </c>
      <c r="E14" s="92">
        <v>-0.15588513995263692</v>
      </c>
      <c r="F14" s="92">
        <v>2.2842108465368307</v>
      </c>
      <c r="G14" s="92">
        <v>-0.88317432852147604</v>
      </c>
      <c r="K14" s="112"/>
      <c r="L14" s="111"/>
      <c r="M14" s="110"/>
      <c r="O14" s="112"/>
      <c r="P14" s="111"/>
      <c r="Q14" s="110"/>
    </row>
    <row r="15" spans="1:17">
      <c r="A15" s="93">
        <v>0</v>
      </c>
      <c r="B15" s="93">
        <v>0</v>
      </c>
      <c r="C15" s="94">
        <f>1000000*F3*(B5-B3*B8)</f>
        <v>0.47234990162510643</v>
      </c>
      <c r="E15" s="92">
        <v>0</v>
      </c>
      <c r="F15" s="92">
        <v>0</v>
      </c>
      <c r="G15" s="92">
        <v>2.1170746443675088</v>
      </c>
    </row>
    <row r="17" spans="1:17">
      <c r="A17" s="3" t="s">
        <v>49</v>
      </c>
      <c r="Q17" s="95"/>
    </row>
    <row r="18" spans="1:17">
      <c r="A18" s="3" t="s">
        <v>50</v>
      </c>
    </row>
    <row r="19" spans="1:17">
      <c r="A19" s="3" t="s">
        <v>51</v>
      </c>
    </row>
    <row r="20" spans="1:17">
      <c r="A20" s="3" t="s">
        <v>52</v>
      </c>
    </row>
    <row r="21" spans="1:17">
      <c r="B21" s="3" t="s">
        <v>76</v>
      </c>
      <c r="C21" s="3" t="s">
        <v>75</v>
      </c>
      <c r="D21" s="3" t="s">
        <v>72</v>
      </c>
      <c r="E21" s="3" t="s">
        <v>73</v>
      </c>
      <c r="F21" s="3" t="s">
        <v>74</v>
      </c>
      <c r="G21" s="3" t="s">
        <v>51</v>
      </c>
      <c r="I21" s="3" t="s">
        <v>77</v>
      </c>
      <c r="J21" s="3" t="s">
        <v>72</v>
      </c>
      <c r="K21" s="3" t="s">
        <v>73</v>
      </c>
      <c r="L21" s="3" t="s">
        <v>74</v>
      </c>
      <c r="M21" s="3" t="s">
        <v>52</v>
      </c>
    </row>
    <row r="22" spans="1:17">
      <c r="A22" s="88">
        <v>1</v>
      </c>
      <c r="B22" s="88">
        <v>0</v>
      </c>
      <c r="C22" s="3">
        <f>2*B22</f>
        <v>0</v>
      </c>
      <c r="D22" s="3">
        <f>C22*PI()/180</f>
        <v>0</v>
      </c>
      <c r="E22" s="3">
        <f>SIN(D22)</f>
        <v>0</v>
      </c>
      <c r="F22" s="3">
        <f>Interface!$D$11/1000/$F$2</f>
        <v>8.3333333333333329E-2</v>
      </c>
      <c r="G22" s="3">
        <f>F22*E22</f>
        <v>0</v>
      </c>
      <c r="I22" s="3">
        <f>4*B22</f>
        <v>0</v>
      </c>
      <c r="J22" s="3">
        <f>I22*PI()/180</f>
        <v>0</v>
      </c>
      <c r="K22" s="3">
        <f>SIN(J22)</f>
        <v>0</v>
      </c>
      <c r="L22" s="3">
        <f>Interface!$D$11/1000/$F$2</f>
        <v>8.3333333333333329E-2</v>
      </c>
      <c r="M22" s="3">
        <f>L22*K22</f>
        <v>0</v>
      </c>
    </row>
    <row r="23" spans="1:17">
      <c r="A23" s="88">
        <v>2</v>
      </c>
      <c r="B23" s="88">
        <v>0</v>
      </c>
      <c r="C23" s="3">
        <f t="shared" ref="C23:C33" si="0">2*B23</f>
        <v>0</v>
      </c>
      <c r="D23" s="3">
        <f t="shared" ref="D23:D33" si="1">C23*PI()/180</f>
        <v>0</v>
      </c>
      <c r="E23" s="3">
        <f t="shared" ref="E23:E33" si="2">SIN(D23)</f>
        <v>0</v>
      </c>
      <c r="F23" s="3">
        <f>Interface!$D$11/1000/$F$2</f>
        <v>8.3333333333333329E-2</v>
      </c>
      <c r="G23" s="3">
        <f t="shared" ref="G23:G33" si="3">F23*E23</f>
        <v>0</v>
      </c>
      <c r="I23" s="3">
        <f t="shared" ref="I23:I33" si="4">4*B23</f>
        <v>0</v>
      </c>
      <c r="J23" s="3">
        <f t="shared" ref="J23:J33" si="5">I23*PI()/180</f>
        <v>0</v>
      </c>
      <c r="K23" s="3">
        <f t="shared" ref="K23:K33" si="6">SIN(J23)</f>
        <v>0</v>
      </c>
      <c r="L23" s="3">
        <f>Interface!$D$11/1000/$F$2</f>
        <v>8.3333333333333329E-2</v>
      </c>
      <c r="M23" s="3">
        <f t="shared" ref="M23:M33" si="7">L23*K23</f>
        <v>0</v>
      </c>
    </row>
    <row r="24" spans="1:17">
      <c r="A24" s="88">
        <v>3</v>
      </c>
      <c r="B24" s="88">
        <v>25</v>
      </c>
      <c r="C24" s="3">
        <f t="shared" si="0"/>
        <v>50</v>
      </c>
      <c r="D24" s="3">
        <f t="shared" si="1"/>
        <v>0.87266462599716477</v>
      </c>
      <c r="E24" s="3">
        <f t="shared" si="2"/>
        <v>0.76604444311897801</v>
      </c>
      <c r="F24" s="3">
        <f>Interface!$D$11/1000/$F$2</f>
        <v>8.3333333333333329E-2</v>
      </c>
      <c r="G24" s="3">
        <f t="shared" si="3"/>
        <v>6.3837036926581492E-2</v>
      </c>
      <c r="I24" s="3">
        <f t="shared" si="4"/>
        <v>100</v>
      </c>
      <c r="J24" s="3">
        <f t="shared" si="5"/>
        <v>1.7453292519943295</v>
      </c>
      <c r="K24" s="3">
        <f t="shared" si="6"/>
        <v>0.98480775301220802</v>
      </c>
      <c r="L24" s="3">
        <f>Interface!$D$11/1000/$F$2</f>
        <v>8.3333333333333329E-2</v>
      </c>
      <c r="M24" s="3">
        <f t="shared" si="7"/>
        <v>8.2067312751017335E-2</v>
      </c>
    </row>
    <row r="25" spans="1:17">
      <c r="A25" s="88">
        <v>4</v>
      </c>
      <c r="B25" s="88">
        <v>-25</v>
      </c>
      <c r="C25" s="3">
        <f t="shared" si="0"/>
        <v>-50</v>
      </c>
      <c r="D25" s="3">
        <f t="shared" si="1"/>
        <v>-0.87266462599716477</v>
      </c>
      <c r="E25" s="3">
        <f t="shared" si="2"/>
        <v>-0.76604444311897801</v>
      </c>
      <c r="F25" s="3">
        <f>Interface!$D$11/1000/$F$2</f>
        <v>8.3333333333333329E-2</v>
      </c>
      <c r="G25" s="3">
        <f t="shared" si="3"/>
        <v>-6.3837036926581492E-2</v>
      </c>
      <c r="I25" s="3">
        <f t="shared" si="4"/>
        <v>-100</v>
      </c>
      <c r="J25" s="3">
        <f t="shared" si="5"/>
        <v>-1.7453292519943295</v>
      </c>
      <c r="K25" s="3">
        <f t="shared" si="6"/>
        <v>-0.98480775301220802</v>
      </c>
      <c r="L25" s="3">
        <f>Interface!$D$11/1000/$F$2</f>
        <v>8.3333333333333329E-2</v>
      </c>
      <c r="M25" s="3">
        <f t="shared" si="7"/>
        <v>-8.2067312751017335E-2</v>
      </c>
    </row>
    <row r="26" spans="1:17">
      <c r="A26" s="88">
        <v>5</v>
      </c>
      <c r="B26" s="88">
        <v>0</v>
      </c>
      <c r="C26" s="3">
        <f t="shared" si="0"/>
        <v>0</v>
      </c>
      <c r="D26" s="3">
        <f t="shared" si="1"/>
        <v>0</v>
      </c>
      <c r="E26" s="3">
        <f t="shared" si="2"/>
        <v>0</v>
      </c>
      <c r="F26" s="3">
        <f>Interface!$D$11/1000/$F$2</f>
        <v>8.3333333333333329E-2</v>
      </c>
      <c r="G26" s="3">
        <f t="shared" si="3"/>
        <v>0</v>
      </c>
      <c r="I26" s="3">
        <f t="shared" si="4"/>
        <v>0</v>
      </c>
      <c r="J26" s="3">
        <f t="shared" si="5"/>
        <v>0</v>
      </c>
      <c r="K26" s="3">
        <f t="shared" si="6"/>
        <v>0</v>
      </c>
      <c r="L26" s="3">
        <f>Interface!$D$11/1000/$F$2</f>
        <v>8.3333333333333329E-2</v>
      </c>
      <c r="M26" s="3">
        <f t="shared" si="7"/>
        <v>0</v>
      </c>
    </row>
    <row r="27" spans="1:17">
      <c r="A27" s="88">
        <v>6</v>
      </c>
      <c r="B27" s="88">
        <v>0</v>
      </c>
      <c r="C27" s="3">
        <f t="shared" si="0"/>
        <v>0</v>
      </c>
      <c r="D27" s="3">
        <f t="shared" si="1"/>
        <v>0</v>
      </c>
      <c r="E27" s="3">
        <f t="shared" si="2"/>
        <v>0</v>
      </c>
      <c r="F27" s="3">
        <f>Interface!$D$11/1000/$F$2</f>
        <v>8.3333333333333329E-2</v>
      </c>
      <c r="G27" s="3">
        <f t="shared" si="3"/>
        <v>0</v>
      </c>
      <c r="I27" s="3">
        <f t="shared" si="4"/>
        <v>0</v>
      </c>
      <c r="J27" s="3">
        <f t="shared" si="5"/>
        <v>0</v>
      </c>
      <c r="K27" s="3">
        <f t="shared" si="6"/>
        <v>0</v>
      </c>
      <c r="L27" s="3">
        <f>Interface!$D$11/1000/$F$2</f>
        <v>8.3333333333333329E-2</v>
      </c>
      <c r="M27" s="3">
        <f t="shared" si="7"/>
        <v>0</v>
      </c>
    </row>
    <row r="28" spans="1:17">
      <c r="A28" s="88">
        <v>7</v>
      </c>
      <c r="B28" s="88">
        <v>0</v>
      </c>
      <c r="C28" s="3">
        <f t="shared" si="0"/>
        <v>0</v>
      </c>
      <c r="D28" s="3">
        <f t="shared" si="1"/>
        <v>0</v>
      </c>
      <c r="E28" s="3">
        <f t="shared" si="2"/>
        <v>0</v>
      </c>
      <c r="F28" s="3">
        <f>Interface!$D$11/1000/$F$2</f>
        <v>8.3333333333333329E-2</v>
      </c>
      <c r="G28" s="3">
        <f t="shared" si="3"/>
        <v>0</v>
      </c>
      <c r="I28" s="3">
        <f t="shared" si="4"/>
        <v>0</v>
      </c>
      <c r="J28" s="3">
        <f t="shared" si="5"/>
        <v>0</v>
      </c>
      <c r="K28" s="3">
        <f t="shared" si="6"/>
        <v>0</v>
      </c>
      <c r="L28" s="3">
        <f>Interface!$D$11/1000/$F$2</f>
        <v>8.3333333333333329E-2</v>
      </c>
      <c r="M28" s="3">
        <f t="shared" si="7"/>
        <v>0</v>
      </c>
    </row>
    <row r="29" spans="1:17">
      <c r="A29" s="88">
        <v>8</v>
      </c>
      <c r="B29" s="88">
        <v>0</v>
      </c>
      <c r="C29" s="3">
        <f t="shared" si="0"/>
        <v>0</v>
      </c>
      <c r="D29" s="3">
        <f t="shared" si="1"/>
        <v>0</v>
      </c>
      <c r="E29" s="3">
        <f t="shared" si="2"/>
        <v>0</v>
      </c>
      <c r="F29" s="3">
        <f>Interface!$D$11/1000/$F$2</f>
        <v>8.3333333333333329E-2</v>
      </c>
      <c r="G29" s="3">
        <f t="shared" si="3"/>
        <v>0</v>
      </c>
      <c r="I29" s="3">
        <f t="shared" si="4"/>
        <v>0</v>
      </c>
      <c r="J29" s="3">
        <f t="shared" si="5"/>
        <v>0</v>
      </c>
      <c r="K29" s="3">
        <f t="shared" si="6"/>
        <v>0</v>
      </c>
      <c r="L29" s="3">
        <f>Interface!$D$11/1000/$F$2</f>
        <v>8.3333333333333329E-2</v>
      </c>
      <c r="M29" s="3">
        <f t="shared" si="7"/>
        <v>0</v>
      </c>
    </row>
    <row r="30" spans="1:17">
      <c r="A30" s="88">
        <v>9</v>
      </c>
      <c r="B30" s="88">
        <v>-25</v>
      </c>
      <c r="C30" s="3">
        <f t="shared" si="0"/>
        <v>-50</v>
      </c>
      <c r="D30" s="3">
        <f t="shared" si="1"/>
        <v>-0.87266462599716477</v>
      </c>
      <c r="E30" s="3">
        <f t="shared" si="2"/>
        <v>-0.76604444311897801</v>
      </c>
      <c r="F30" s="3">
        <f>Interface!$D$11/1000/$F$2</f>
        <v>8.3333333333333329E-2</v>
      </c>
      <c r="G30" s="3">
        <f t="shared" si="3"/>
        <v>-6.3837036926581492E-2</v>
      </c>
      <c r="I30" s="3">
        <f t="shared" si="4"/>
        <v>-100</v>
      </c>
      <c r="J30" s="3">
        <f t="shared" si="5"/>
        <v>-1.7453292519943295</v>
      </c>
      <c r="K30" s="3">
        <f t="shared" si="6"/>
        <v>-0.98480775301220802</v>
      </c>
      <c r="L30" s="3">
        <f>Interface!$D$11/1000/$F$2</f>
        <v>8.3333333333333329E-2</v>
      </c>
      <c r="M30" s="3">
        <f t="shared" si="7"/>
        <v>-8.2067312751017335E-2</v>
      </c>
    </row>
    <row r="31" spans="1:17">
      <c r="A31" s="3">
        <v>10</v>
      </c>
      <c r="B31" s="3">
        <v>25</v>
      </c>
      <c r="C31" s="3">
        <f t="shared" si="0"/>
        <v>50</v>
      </c>
      <c r="D31" s="3">
        <f t="shared" si="1"/>
        <v>0.87266462599716477</v>
      </c>
      <c r="E31" s="3">
        <f t="shared" si="2"/>
        <v>0.76604444311897801</v>
      </c>
      <c r="F31" s="3">
        <f>Interface!$D$11/1000/$F$2</f>
        <v>8.3333333333333329E-2</v>
      </c>
      <c r="G31" s="3">
        <f t="shared" si="3"/>
        <v>6.3837036926581492E-2</v>
      </c>
      <c r="I31" s="3">
        <f t="shared" si="4"/>
        <v>100</v>
      </c>
      <c r="J31" s="3">
        <f t="shared" si="5"/>
        <v>1.7453292519943295</v>
      </c>
      <c r="K31" s="3">
        <f t="shared" si="6"/>
        <v>0.98480775301220802</v>
      </c>
      <c r="L31" s="3">
        <f>Interface!$D$11/1000/$F$2</f>
        <v>8.3333333333333329E-2</v>
      </c>
      <c r="M31" s="3">
        <f t="shared" si="7"/>
        <v>8.2067312751017335E-2</v>
      </c>
    </row>
    <row r="32" spans="1:17">
      <c r="A32" s="3">
        <v>11</v>
      </c>
      <c r="B32" s="3">
        <v>0</v>
      </c>
      <c r="C32" s="3">
        <f t="shared" si="0"/>
        <v>0</v>
      </c>
      <c r="D32" s="3">
        <f t="shared" si="1"/>
        <v>0</v>
      </c>
      <c r="E32" s="3">
        <f t="shared" si="2"/>
        <v>0</v>
      </c>
      <c r="F32" s="3">
        <f>Interface!$D$11/1000/$F$2</f>
        <v>8.3333333333333329E-2</v>
      </c>
      <c r="G32" s="3">
        <f t="shared" si="3"/>
        <v>0</v>
      </c>
      <c r="I32" s="3">
        <f t="shared" si="4"/>
        <v>0</v>
      </c>
      <c r="J32" s="3">
        <f t="shared" si="5"/>
        <v>0</v>
      </c>
      <c r="K32" s="3">
        <f t="shared" si="6"/>
        <v>0</v>
      </c>
      <c r="L32" s="3">
        <f>Interface!$D$11/1000/$F$2</f>
        <v>8.3333333333333329E-2</v>
      </c>
      <c r="M32" s="3">
        <f t="shared" si="7"/>
        <v>0</v>
      </c>
    </row>
    <row r="33" spans="1:13">
      <c r="A33" s="3">
        <v>12</v>
      </c>
      <c r="B33" s="3">
        <v>0</v>
      </c>
      <c r="C33" s="3">
        <f t="shared" si="0"/>
        <v>0</v>
      </c>
      <c r="D33" s="3">
        <f t="shared" si="1"/>
        <v>0</v>
      </c>
      <c r="E33" s="3">
        <f t="shared" si="2"/>
        <v>0</v>
      </c>
      <c r="F33" s="3">
        <f>Interface!$D$11/1000/$F$2</f>
        <v>8.3333333333333329E-2</v>
      </c>
      <c r="G33" s="3">
        <f t="shared" si="3"/>
        <v>0</v>
      </c>
      <c r="I33" s="3">
        <f t="shared" si="4"/>
        <v>0</v>
      </c>
      <c r="J33" s="3">
        <f t="shared" si="5"/>
        <v>0</v>
      </c>
      <c r="K33" s="3">
        <f t="shared" si="6"/>
        <v>0</v>
      </c>
      <c r="L33" s="3">
        <f>Interface!$D$11/1000/$F$2</f>
        <v>8.3333333333333329E-2</v>
      </c>
      <c r="M33" s="3">
        <f t="shared" si="7"/>
        <v>0</v>
      </c>
    </row>
    <row r="34" spans="1:13">
      <c r="G34" s="3">
        <f>SUM(G22:G33)</f>
        <v>0</v>
      </c>
      <c r="M34" s="3">
        <f>SUM(M22:M33)</f>
        <v>0</v>
      </c>
    </row>
    <row r="35" spans="1:13">
      <c r="D35" s="3" t="s">
        <v>83</v>
      </c>
    </row>
    <row r="36" spans="1:13">
      <c r="A36" s="3" t="s">
        <v>78</v>
      </c>
      <c r="B36" s="3">
        <f>-(225*9.81*52/100)/(4*0.1)</f>
        <v>-2869.4249999999997</v>
      </c>
      <c r="C36" s="3" t="s">
        <v>81</v>
      </c>
      <c r="D36" s="3">
        <f>0.005</f>
        <v>5.0000000000000001E-3</v>
      </c>
      <c r="F36" s="3" t="s">
        <v>82</v>
      </c>
      <c r="G36" s="3">
        <f>E13*(225*9.81)*(52/100)^3/(48*10/100)/1000</f>
        <v>1.295470370271143E-2</v>
      </c>
    </row>
    <row r="38" spans="1:13">
      <c r="A38" s="3" t="s">
        <v>79</v>
      </c>
      <c r="C38" s="3" t="s">
        <v>80</v>
      </c>
    </row>
    <row r="39" spans="1:13">
      <c r="A39" s="3">
        <f>B36*E13/1000</f>
        <v>-0.57491288621500414</v>
      </c>
      <c r="C39" s="3">
        <f>A39*$D$36</f>
        <v>-2.8745644310750208E-3</v>
      </c>
    </row>
    <row r="40" spans="1:13">
      <c r="A40" s="3">
        <f>B36*F13/1000</f>
        <v>0.44730071770859514</v>
      </c>
      <c r="C40" s="3">
        <f>A40*$D$36</f>
        <v>2.2365035885429756E-3</v>
      </c>
    </row>
    <row r="41" spans="1:13">
      <c r="A41" s="3">
        <v>0</v>
      </c>
      <c r="C41" s="3">
        <f>A41*$D$36</f>
        <v>0</v>
      </c>
    </row>
    <row r="43" spans="1:13">
      <c r="A43" s="3">
        <v>0</v>
      </c>
      <c r="E43" s="3">
        <v>25</v>
      </c>
      <c r="I43" s="3">
        <v>-25</v>
      </c>
    </row>
    <row r="44" spans="1:13">
      <c r="A44" s="3" t="s">
        <v>46</v>
      </c>
      <c r="E44" s="3" t="s">
        <v>47</v>
      </c>
      <c r="I44" s="3" t="s">
        <v>48</v>
      </c>
    </row>
    <row r="45" spans="1:13">
      <c r="A45" s="29">
        <v>134.70141236936453</v>
      </c>
      <c r="B45" s="29">
        <v>2.5050441763019142</v>
      </c>
      <c r="C45" s="29">
        <v>0</v>
      </c>
      <c r="D45" s="29"/>
      <c r="E45" s="29">
        <v>94.89460786711895</v>
      </c>
      <c r="F45" s="29">
        <v>19.851257679549018</v>
      </c>
      <c r="G45" s="29">
        <v>38.638647770940459</v>
      </c>
      <c r="I45" s="29">
        <v>94.89460786711895</v>
      </c>
      <c r="J45" s="29">
        <v>19.851257679549018</v>
      </c>
      <c r="K45" s="29">
        <v>-38.638647770940459</v>
      </c>
    </row>
    <row r="46" spans="1:13">
      <c r="A46" s="29">
        <v>2.5050441763019142</v>
      </c>
      <c r="B46" s="29">
        <v>8.9465863439354063</v>
      </c>
      <c r="C46" s="29">
        <v>0</v>
      </c>
      <c r="D46" s="29"/>
      <c r="E46" s="29">
        <v>19.851257679549018</v>
      </c>
      <c r="F46" s="29">
        <v>14.060963839686764</v>
      </c>
      <c r="G46" s="29">
        <v>9.5282450651464536</v>
      </c>
      <c r="I46" s="29">
        <v>19.851257679549018</v>
      </c>
      <c r="J46" s="29">
        <v>14.060963839686764</v>
      </c>
      <c r="K46" s="29">
        <v>-9.5282450651464536</v>
      </c>
    </row>
    <row r="47" spans="1:13">
      <c r="A47" s="29">
        <v>0</v>
      </c>
      <c r="B47" s="29">
        <v>0</v>
      </c>
      <c r="C47" s="29">
        <v>5.0999999999999996</v>
      </c>
      <c r="D47" s="29"/>
      <c r="E47" s="29">
        <v>38.638647770940459</v>
      </c>
      <c r="F47" s="29">
        <v>9.5282450651464536</v>
      </c>
      <c r="G47" s="29">
        <v>22.446213503247108</v>
      </c>
      <c r="I47" s="29">
        <v>-38.638647770940459</v>
      </c>
      <c r="J47" s="29">
        <v>-9.5282450651464536</v>
      </c>
      <c r="K47" s="29">
        <v>22.446213503247108</v>
      </c>
    </row>
    <row r="49" spans="1:19">
      <c r="A49" s="3">
        <f>23.734+19.703</f>
        <v>43.436999999999998</v>
      </c>
      <c r="E49" s="3">
        <v>10.584</v>
      </c>
      <c r="I49" s="3">
        <v>11.087899999999999</v>
      </c>
    </row>
    <row r="51" spans="1:19">
      <c r="A51" s="53">
        <f>A45*A49</f>
        <v>5851.0252490880866</v>
      </c>
      <c r="B51" s="53">
        <f>B45*A49</f>
        <v>108.81160388602625</v>
      </c>
      <c r="C51" s="53">
        <f>C45*A49</f>
        <v>0</v>
      </c>
      <c r="D51" s="53"/>
      <c r="E51" s="53">
        <f>E45*E49</f>
        <v>1004.3645296655869</v>
      </c>
      <c r="F51" s="53">
        <f>E52</f>
        <v>210.10571128034681</v>
      </c>
      <c r="G51" s="53">
        <f>G45*E49</f>
        <v>408.95144800763381</v>
      </c>
      <c r="I51" s="53">
        <f>I45*I49</f>
        <v>1052.1819225698282</v>
      </c>
      <c r="J51" s="53">
        <f>I52</f>
        <v>220.10876002507155</v>
      </c>
      <c r="K51" s="53">
        <f>K45*I49</f>
        <v>-428.4214626194107</v>
      </c>
      <c r="M51" s="29">
        <f t="shared" ref="M51:O53" si="8">A51+E51+I51</f>
        <v>7907.5717013235017</v>
      </c>
      <c r="N51" s="29">
        <f t="shared" si="8"/>
        <v>539.02607519144453</v>
      </c>
      <c r="O51" s="29">
        <f t="shared" si="8"/>
        <v>-19.47001461177689</v>
      </c>
      <c r="Q51" s="29">
        <f>M51*2/3000</f>
        <v>5.2717144675490015</v>
      </c>
      <c r="R51" s="29">
        <f t="shared" ref="R51:S53" si="9">N51*2/3000</f>
        <v>0.35935071679429637</v>
      </c>
      <c r="S51" s="29">
        <f t="shared" si="9"/>
        <v>-1.2980009741184594E-2</v>
      </c>
    </row>
    <row r="52" spans="1:19">
      <c r="A52" s="53">
        <f>A46*A49</f>
        <v>108.81160388602625</v>
      </c>
      <c r="B52" s="53">
        <f>B46*A49</f>
        <v>388.61287102152221</v>
      </c>
      <c r="C52" s="53">
        <v>0</v>
      </c>
      <c r="D52" s="53" t="s">
        <v>89</v>
      </c>
      <c r="E52" s="53">
        <f>E49*E46</f>
        <v>210.10571128034681</v>
      </c>
      <c r="F52" s="53">
        <f>F46*E49</f>
        <v>148.8212412792447</v>
      </c>
      <c r="G52" s="53">
        <f>F53</f>
        <v>100.84694576951006</v>
      </c>
      <c r="H52" s="3" t="s">
        <v>89</v>
      </c>
      <c r="I52" s="53">
        <f>I49*I46</f>
        <v>220.10876002507155</v>
      </c>
      <c r="J52" s="53">
        <f>J46*I49</f>
        <v>155.90656095806287</v>
      </c>
      <c r="K52" s="53">
        <f>J53</f>
        <v>-105.64822845783736</v>
      </c>
      <c r="L52" s="97" t="s">
        <v>90</v>
      </c>
      <c r="M52" s="29">
        <f t="shared" si="8"/>
        <v>539.02607519144453</v>
      </c>
      <c r="N52" s="29">
        <f t="shared" si="8"/>
        <v>693.34067325882972</v>
      </c>
      <c r="O52" s="29">
        <f t="shared" si="8"/>
        <v>-4.801282688327305</v>
      </c>
      <c r="P52" s="97" t="s">
        <v>91</v>
      </c>
      <c r="Q52" s="29">
        <f>M52*2/3000</f>
        <v>0.35935071679429637</v>
      </c>
      <c r="R52" s="29">
        <f t="shared" si="9"/>
        <v>0.46222711550588647</v>
      </c>
      <c r="S52" s="29">
        <f t="shared" si="9"/>
        <v>-3.2008551255515365E-3</v>
      </c>
    </row>
    <row r="53" spans="1:19">
      <c r="A53" s="53">
        <v>0</v>
      </c>
      <c r="B53" s="53">
        <v>0</v>
      </c>
      <c r="C53" s="53">
        <f>A49*C47</f>
        <v>221.52869999999999</v>
      </c>
      <c r="D53" s="53"/>
      <c r="E53" s="53">
        <f>E49*E47</f>
        <v>408.95144800763381</v>
      </c>
      <c r="F53" s="53">
        <f>F47*E49</f>
        <v>100.84694576951006</v>
      </c>
      <c r="G53" s="53">
        <f>G47*E49</f>
        <v>237.57072371836739</v>
      </c>
      <c r="I53" s="53">
        <f>I49*I47</f>
        <v>-428.4214626194107</v>
      </c>
      <c r="J53" s="53">
        <f>J47*I49</f>
        <v>-105.64822845783736</v>
      </c>
      <c r="K53" s="53">
        <f>K47*I49</f>
        <v>248.88137070265358</v>
      </c>
      <c r="M53" s="29">
        <f t="shared" si="8"/>
        <v>-19.47001461177689</v>
      </c>
      <c r="N53" s="29">
        <f t="shared" si="8"/>
        <v>-4.801282688327305</v>
      </c>
      <c r="O53" s="29">
        <f t="shared" si="8"/>
        <v>707.98079442102096</v>
      </c>
      <c r="Q53" s="29">
        <f>M53*2/3000</f>
        <v>-1.2980009741184594E-2</v>
      </c>
      <c r="R53" s="29">
        <f t="shared" si="9"/>
        <v>-3.2008551255515365E-3</v>
      </c>
      <c r="S53" s="29">
        <f t="shared" si="9"/>
        <v>0.47198719628068064</v>
      </c>
    </row>
    <row r="59" spans="1:19">
      <c r="A59" s="70"/>
      <c r="B59" s="61"/>
      <c r="C59"/>
      <c r="E59" s="70"/>
      <c r="F59" s="61"/>
      <c r="G59"/>
    </row>
    <row r="60" spans="1:19">
      <c r="A60" s="116"/>
      <c r="B60" s="117"/>
      <c r="C60" s="116"/>
      <c r="E60" s="116"/>
      <c r="F60" s="117"/>
      <c r="G60" s="116"/>
    </row>
    <row r="61" spans="1:19">
      <c r="A61" s="116"/>
      <c r="B61" s="117"/>
      <c r="C61" s="116"/>
      <c r="E61" s="116"/>
      <c r="F61" s="117"/>
      <c r="G61" s="116"/>
    </row>
    <row r="62" spans="1:19">
      <c r="A62" s="116"/>
      <c r="B62" s="117"/>
      <c r="C62" s="116"/>
      <c r="E62" s="116"/>
      <c r="F62" s="117"/>
      <c r="G62" s="116"/>
    </row>
  </sheetData>
  <pageMargins left="0.7" right="0.7" top="0.75" bottom="0.75" header="0.3" footer="0.3"/>
  <pageSetup orientation="portrait" horizontalDpi="0" verticalDpi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le2"/>
  <dimension ref="A1:J28"/>
  <sheetViews>
    <sheetView showGridLines="0" workbookViewId="0">
      <selection activeCell="E23" sqref="E23"/>
    </sheetView>
  </sheetViews>
  <sheetFormatPr baseColWidth="10" defaultRowHeight="16"/>
  <cols>
    <col min="1" max="1" width="7.83203125" bestFit="1" customWidth="1"/>
    <col min="2" max="2" width="13.5" bestFit="1" customWidth="1"/>
    <col min="3" max="3" width="12.1640625" bestFit="1" customWidth="1"/>
    <col min="4" max="4" width="11.83203125" bestFit="1" customWidth="1"/>
    <col min="5" max="5" width="13.5" bestFit="1" customWidth="1"/>
    <col min="6" max="6" width="11.6640625" customWidth="1"/>
  </cols>
  <sheetData>
    <row r="1" spans="1:7">
      <c r="A1" s="15"/>
      <c r="B1" s="15" t="s">
        <v>0</v>
      </c>
      <c r="C1" s="15" t="s">
        <v>2</v>
      </c>
      <c r="D1" s="15" t="s">
        <v>4</v>
      </c>
      <c r="E1" s="15" t="s">
        <v>0</v>
      </c>
      <c r="F1" s="15" t="s">
        <v>7</v>
      </c>
      <c r="G1" s="15"/>
    </row>
    <row r="2" spans="1:7">
      <c r="A2" s="15"/>
      <c r="B2" s="15" t="s">
        <v>1</v>
      </c>
      <c r="C2" s="15" t="s">
        <v>3</v>
      </c>
      <c r="D2" s="15" t="s">
        <v>5</v>
      </c>
      <c r="E2" s="15" t="s">
        <v>6</v>
      </c>
      <c r="F2" s="15" t="s">
        <v>8</v>
      </c>
      <c r="G2" s="15" t="s">
        <v>17</v>
      </c>
    </row>
    <row r="3" spans="1:7">
      <c r="A3" s="15" t="s">
        <v>18</v>
      </c>
      <c r="B3" s="15">
        <v>181</v>
      </c>
      <c r="C3" s="15">
        <v>38.6</v>
      </c>
      <c r="D3" s="15">
        <v>76</v>
      </c>
      <c r="E3" s="15">
        <v>138</v>
      </c>
      <c r="F3" s="15">
        <v>134</v>
      </c>
      <c r="G3" s="15" t="s">
        <v>19</v>
      </c>
    </row>
    <row r="4" spans="1:7">
      <c r="A4" s="15" t="s">
        <v>9</v>
      </c>
      <c r="B4" s="15">
        <v>10.3</v>
      </c>
      <c r="C4" s="15">
        <v>8.27</v>
      </c>
      <c r="D4" s="15">
        <v>5.5</v>
      </c>
      <c r="E4" s="15">
        <v>8.9600000000000009</v>
      </c>
      <c r="F4" s="15">
        <v>8.9</v>
      </c>
      <c r="G4" s="15" t="s">
        <v>19</v>
      </c>
    </row>
    <row r="5" spans="1:7">
      <c r="A5" s="15" t="s">
        <v>10</v>
      </c>
      <c r="B5" s="15">
        <v>7.17</v>
      </c>
      <c r="C5" s="15">
        <v>2.2999999999999998</v>
      </c>
      <c r="D5" s="15">
        <v>2.2999999999999998</v>
      </c>
      <c r="E5" s="15">
        <v>7.1</v>
      </c>
      <c r="F5" s="15">
        <v>5.0999999999999996</v>
      </c>
      <c r="G5" s="15" t="s">
        <v>19</v>
      </c>
    </row>
    <row r="6" spans="1:7">
      <c r="A6" s="15" t="s">
        <v>11</v>
      </c>
      <c r="B6" s="15">
        <v>0.28000000000000003</v>
      </c>
      <c r="C6" s="15">
        <v>0.34</v>
      </c>
      <c r="D6" s="15">
        <v>0.34</v>
      </c>
      <c r="E6" s="15">
        <v>0.3</v>
      </c>
      <c r="F6" s="15">
        <v>0.28000000000000003</v>
      </c>
      <c r="G6" s="15" t="s">
        <v>20</v>
      </c>
    </row>
    <row r="7" spans="1:7">
      <c r="A7" s="15" t="s">
        <v>12</v>
      </c>
      <c r="B7" s="15">
        <v>1500</v>
      </c>
      <c r="C7" s="15">
        <v>1400</v>
      </c>
      <c r="D7" s="15">
        <v>1400</v>
      </c>
      <c r="E7" s="15">
        <v>1447</v>
      </c>
      <c r="F7" s="15">
        <v>2130</v>
      </c>
      <c r="G7" s="15" t="s">
        <v>21</v>
      </c>
    </row>
    <row r="8" spans="1:7">
      <c r="A8" s="15" t="s">
        <v>13</v>
      </c>
      <c r="B8" s="15">
        <v>1500</v>
      </c>
      <c r="C8" s="15">
        <v>235</v>
      </c>
      <c r="D8" s="15">
        <v>235</v>
      </c>
      <c r="E8" s="15">
        <v>1447</v>
      </c>
      <c r="F8" s="15">
        <v>1100</v>
      </c>
      <c r="G8" s="15" t="s">
        <v>21</v>
      </c>
    </row>
    <row r="9" spans="1:7">
      <c r="A9" s="15" t="s">
        <v>14</v>
      </c>
      <c r="B9" s="15">
        <v>40</v>
      </c>
      <c r="C9" s="15">
        <v>12</v>
      </c>
      <c r="D9" s="15">
        <v>12</v>
      </c>
      <c r="E9" s="15">
        <v>51.7</v>
      </c>
      <c r="F9" s="15">
        <v>80</v>
      </c>
      <c r="G9" s="16" t="s">
        <v>21</v>
      </c>
    </row>
    <row r="10" spans="1:7">
      <c r="A10" s="15" t="s">
        <v>15</v>
      </c>
      <c r="B10" s="15">
        <v>246</v>
      </c>
      <c r="C10" s="15">
        <v>53</v>
      </c>
      <c r="D10" s="15">
        <v>53</v>
      </c>
      <c r="E10" s="15">
        <v>206</v>
      </c>
      <c r="F10" s="15">
        <v>200</v>
      </c>
      <c r="G10" s="16" t="s">
        <v>21</v>
      </c>
    </row>
    <row r="11" spans="1:7">
      <c r="A11" s="15" t="s">
        <v>16</v>
      </c>
      <c r="B11" s="15">
        <v>68</v>
      </c>
      <c r="C11" s="15">
        <v>34</v>
      </c>
      <c r="D11" s="15">
        <v>34</v>
      </c>
      <c r="E11" s="15">
        <v>93</v>
      </c>
      <c r="F11" s="15">
        <v>160</v>
      </c>
      <c r="G11" s="16" t="s">
        <v>21</v>
      </c>
    </row>
    <row r="12" spans="1:7">
      <c r="A12" s="15" t="s">
        <v>22</v>
      </c>
      <c r="B12" s="15">
        <v>0.125</v>
      </c>
      <c r="C12" s="15">
        <v>0.125</v>
      </c>
      <c r="D12" s="15">
        <v>0.125</v>
      </c>
      <c r="E12" s="15">
        <v>0.125</v>
      </c>
      <c r="F12" s="15">
        <v>0.125</v>
      </c>
      <c r="G12" s="16" t="s">
        <v>23</v>
      </c>
    </row>
    <row r="13" spans="1:7">
      <c r="A13" s="15" t="s">
        <v>40</v>
      </c>
      <c r="B13" s="23">
        <f>B6*B4/B3</f>
        <v>1.5933701657458565E-2</v>
      </c>
      <c r="C13" s="23">
        <f>C6*C4/C3</f>
        <v>7.2844559585492227E-2</v>
      </c>
      <c r="D13" s="23">
        <f>D6*D4/D3</f>
        <v>2.4605263157894738E-2</v>
      </c>
      <c r="E13" s="23">
        <f>E6*E4/E3</f>
        <v>1.9478260869565219E-2</v>
      </c>
      <c r="F13" s="23">
        <f>F6*F4/F3</f>
        <v>1.8597014925373138E-2</v>
      </c>
      <c r="G13" s="22" t="s">
        <v>20</v>
      </c>
    </row>
    <row r="25" spans="4:10">
      <c r="D25" s="70" t="s">
        <v>26</v>
      </c>
      <c r="E25" s="61"/>
      <c r="H25" s="70" t="s">
        <v>105</v>
      </c>
      <c r="I25" s="61"/>
    </row>
    <row r="26" spans="4:10">
      <c r="D26" s="116" t="s">
        <v>61</v>
      </c>
      <c r="E26" s="117">
        <v>5000</v>
      </c>
      <c r="F26" s="116" t="s">
        <v>102</v>
      </c>
      <c r="H26" s="116" t="s">
        <v>84</v>
      </c>
      <c r="I26" s="117">
        <v>-1300</v>
      </c>
      <c r="J26" s="116" t="s">
        <v>85</v>
      </c>
    </row>
    <row r="27" spans="4:10">
      <c r="D27" s="116" t="s">
        <v>62</v>
      </c>
      <c r="E27" s="117">
        <v>0</v>
      </c>
      <c r="F27" s="116" t="s">
        <v>102</v>
      </c>
      <c r="H27" s="116" t="s">
        <v>103</v>
      </c>
      <c r="I27" s="117">
        <v>0</v>
      </c>
      <c r="J27" s="116" t="s">
        <v>85</v>
      </c>
    </row>
    <row r="28" spans="4:10">
      <c r="D28" s="116" t="s">
        <v>63</v>
      </c>
      <c r="E28" s="117">
        <v>0</v>
      </c>
      <c r="F28" s="116" t="s">
        <v>102</v>
      </c>
      <c r="H28" s="116" t="s">
        <v>104</v>
      </c>
      <c r="I28" s="117">
        <v>0</v>
      </c>
      <c r="J28" s="116" t="s">
        <v>85</v>
      </c>
    </row>
  </sheetData>
  <pageMargins left="0.7" right="0.7" top="0.75" bottom="0.75" header="0.3" footer="0.3"/>
  <pageSetup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Interface</vt:lpstr>
      <vt:lpstr>Data for R=1</vt:lpstr>
      <vt:lpstr>Data for P1=1000</vt:lpstr>
      <vt:lpstr>Table</vt:lpstr>
      <vt:lpstr>Verif</vt:lpstr>
      <vt:lpstr>Data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Utilisateur de Microsoft Office</dc:creator>
  <cp:keywords/>
  <dc:description/>
  <cp:lastModifiedBy>Arnaud Guzman-Annes</cp:lastModifiedBy>
  <cp:lastPrinted>2018-10-01T23:36:10Z</cp:lastPrinted>
  <dcterms:created xsi:type="dcterms:W3CDTF">2018-09-07T21:14:27Z</dcterms:created>
  <dcterms:modified xsi:type="dcterms:W3CDTF">2021-01-12T18:58:12Z</dcterms:modified>
  <cp:category/>
</cp:coreProperties>
</file>